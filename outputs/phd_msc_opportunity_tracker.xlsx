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0a65892776f4cd7" /></Relationships>
</file>

<file path=xl/workbook.xml><?xml version="1.0" encoding="utf-8"?>
<x:workbook xmlns:x="http://schemas.openxmlformats.org/spreadsheetml/2006/main">
  <x:sheets>
    <x:sheet xmlns:r="http://schemas.openxmlformats.org/officeDocument/2006/relationships" name="Dashboard" sheetId="1" r:id="R120fb589bb3a4d33"/>
    <x:sheet xmlns:r="http://schemas.openxmlformats.org/officeDocument/2006/relationships" name="Leads" sheetId="2" r:id="R785f725d092b44dc"/>
    <x:sheet xmlns:r="http://schemas.openxmlformats.org/officeDocument/2006/relationships" name="Search Bank" sheetId="3" r:id="R0b5e5f6a7ccf47c3"/>
    <x:sheet xmlns:r="http://schemas.openxmlformats.org/officeDocument/2006/relationships" name="Public Source Plan" sheetId="4" r:id="Rd913cb5f6d7b4894"/>
    <x:sheet xmlns:r="http://schemas.openxmlformats.org/officeDocument/2006/relationships" name="Manual LinkedIn Capture" sheetId="5" r:id="Re79f567b51db4baf"/>
    <x:sheet xmlns:r="http://schemas.openxmlformats.org/officeDocument/2006/relationships" name="Outreach Templates" sheetId="6" r:id="Rca33c9df93634c98"/>
    <x:sheet xmlns:r="http://schemas.openxmlformats.org/officeDocument/2006/relationships" name="Scoring Guide" sheetId="7" r:id="R4a7a56592f0c4b15"/>
    <x:sheet xmlns:r="http://schemas.openxmlformats.org/officeDocument/2006/relationships" name="Lists" sheetId="8" r:id="Ra8744eddab82429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b/>
      <x:sz val="16"/>
      <x:color rgb="FFFFFFFF"/>
      <x:name val="Carlito"/>
    </x:font>
    <x:font>
      <x:sz val="10"/>
      <x:color rgb="FF1F3A5F"/>
      <x:name val="Carlito"/>
    </x:font>
    <x:font>
      <x:b/>
      <x:sz val="11"/>
      <x:color rgb="FFFFFFFF"/>
      <x:name val="Carlito"/>
    </x:font>
    <x:font>
      <x:b/>
      <x:sz val="11"/>
      <x:name val="Carlito"/>
    </x:font>
  </x:fonts>
  <x:fills count="6">
    <x:fill>
      <x:patternFill patternType="none"/>
    </x:fill>
    <x:fill>
      <x:patternFill patternType="gray125"/>
    </x:fill>
    <x:fill>
      <x:patternFill patternType="solid">
        <x:fgColor rgb="FF0B2545"/>
      </x:patternFill>
    </x:fill>
    <x:fill>
      <x:patternFill patternType="solid">
        <x:fgColor rgb="FFE8EEF5"/>
      </x:patternFill>
    </x:fill>
    <x:fill>
      <x:patternFill patternType="solid">
        <x:fgColor rgb="FF1F4D78"/>
      </x:patternFill>
    </x:fill>
    <x:fill>
      <x:patternFill patternType="solid">
        <x:fgColor rgb="FFF7FAFC"/>
      </x:patternFill>
    </x:fill>
  </x:fills>
  <x:borders count="8">
    <x:border/>
    <x:border>
      <x:left style="thin">
        <x:color rgb="FF9FB3C8"/>
      </x:left>
      <x:top style="thin">
        <x:color rgb="FF9FB3C8"/>
      </x:top>
    </x:border>
    <x:border>
      <x:top style="thin">
        <x:color rgb="FF9FB3C8"/>
      </x:top>
    </x:border>
    <x:border>
      <x:right style="thin">
        <x:color rgb="FF9FB3C8"/>
      </x:right>
      <x:top style="thin">
        <x:color rgb="FF9FB3C8"/>
      </x:top>
    </x:border>
    <x:border>
      <x:left style="thin">
        <x:color rgb="FF9FB3C8"/>
      </x:left>
      <x:bottom style="thin">
        <x:color rgb="FF9FB3C8"/>
      </x:bottom>
    </x:border>
    <x:border>
      <x:bottom style="thin">
        <x:color rgb="FF9FB3C8"/>
      </x:bottom>
    </x:border>
    <x:border>
      <x:right style="thin">
        <x:color rgb="FF9FB3C8"/>
      </x:right>
      <x:bottom style="thin">
        <x:color rgb="FF9FB3C8"/>
      </x:bottom>
    </x:border>
    <x:border>
      <x:left style="thin">
        <x:color rgb="FFD9E2EF"/>
      </x:left>
      <x:right style="thin">
        <x:color rgb="FFD9E2EF"/>
      </x:right>
      <x:top style="thin">
        <x:color rgb="FFD9E2EF"/>
      </x:top>
      <x:bottom style="thin">
        <x:color rgb="FFD9E2EF"/>
      </x:bottom>
    </x:border>
  </x:borders>
  <x:cellStyleXfs count="1">
    <x:xf numFmtId="0" fontId="0" fillId="0" borderId="0"/>
  </x:cellStyleXfs>
  <x:cellXfs count="2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1" fillId="2" borderId="1" xfId="0" applyNumberFormat="1" applyFont="1" applyFill="1" applyBorder="1" applyAlignment="1">
      <x:alignment horizontal="left"/>
    </x:xf>
    <x:xf numFmtId="0" fontId="0" fillId="0" borderId="2" xfId="0" applyNumberFormat="1" applyFont="1" applyFill="1" applyBorder="1"/>
    <x:xf numFmtId="0" fontId="0" fillId="0" borderId="3" xfId="0" applyNumberFormat="1" applyFont="1" applyFill="1" applyBorder="1"/>
    <x:xf numFmtId="0" fontId="2" fillId="3" borderId="4" xfId="0" applyNumberFormat="1" applyFont="1" applyFill="1" applyBorder="1" applyAlignment="1">
      <x:alignment wrapText="1"/>
    </x:xf>
    <x:xf numFmtId="0" fontId="0" fillId="0" borderId="5" xfId="0" applyNumberFormat="1" applyFont="1" applyFill="1" applyBorder="1"/>
    <x:xf numFmtId="0" fontId="0" fillId="0" borderId="6"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7" xfId="0" applyNumberFormat="1" applyFont="1" applyFill="1" applyBorder="1" applyAlignment="1">
      <x:alignment horizontal="center" vertical="center" wrapText="1"/>
    </x:xf>
    <x:xf numFmtId="0" fontId="0" fillId="0" borderId="7" xfId="0" applyNumberFormat="1" applyFont="1" applyFill="1" applyBorder="1"/>
    <x:xf numFmtId="0" fontId="0" fillId="5" borderId="7" xfId="0" applyNumberFormat="1" applyFont="1" applyFill="1" applyBorder="1"/>
    <x:xf numFmtId="0" fontId="4" fillId="5" borderId="7" xfId="0" applyNumberFormat="1" applyFont="1" applyFill="1" applyBorder="1"/>
    <x:xf numFmtId="0" fontId="0" fillId="0" borderId="7" xfId="0" applyNumberFormat="1" applyFont="1" applyFill="1" applyBorder="1" applyAlignment="1">
      <x:alignment wrapText="1"/>
    </x:xf>
    <x:xf numFmtId="200"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cellXfs>
  <x:cellStyles count="1">
    <x:cellStyle name="Normal" xfId="0"/>
  </x:cellStyles>
  <x:dxfs count="3">
    <x:dxf>
      <x:font>
        <x:b/>
        <x:color rgb="FF166534"/>
      </x:font>
      <x:fill>
        <x:patternFill patternType="solid">
          <x:bgColor rgb="FFDCFCE7"/>
        </x:patternFill>
      </x:fill>
    </x:dxf>
    <x:dxf>
      <x:font>
        <x:color rgb="FF854D0E"/>
      </x:font>
      <x:fill>
        <x:patternFill patternType="solid">
          <x:bgColor rgb="FFFEF9C3"/>
        </x:patternFill>
      </x:fill>
    </x:dxf>
    <x:dxf>
      <x:font>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64394d1ab543f2" /><Relationship Type="http://schemas.openxmlformats.org/officeDocument/2006/relationships/theme" Target="/xl/theme/theme1.xml" Id="Rfc6f50684d8841d1" /><Relationship Type="http://schemas.openxmlformats.org/officeDocument/2006/relationships/sharedStrings" Target="/xl/sharedStrings.xml" Id="R10ab9ce5adaf420e" /><Relationship Type="http://schemas.openxmlformats.org/officeDocument/2006/relationships/worksheet" Target="/xl/worksheets/sheet1.xml" Id="R120fb589bb3a4d33" /><Relationship Type="http://schemas.openxmlformats.org/officeDocument/2006/relationships/worksheet" Target="/xl/worksheets/sheet2.xml" Id="R785f725d092b44dc" /><Relationship Type="http://schemas.openxmlformats.org/officeDocument/2006/relationships/worksheet" Target="/xl/worksheets/sheet3.xml" Id="R0b5e5f6a7ccf47c3" /><Relationship Type="http://schemas.openxmlformats.org/officeDocument/2006/relationships/worksheet" Target="/xl/worksheets/sheet4.xml" Id="Rd913cb5f6d7b4894" /><Relationship Type="http://schemas.openxmlformats.org/officeDocument/2006/relationships/worksheet" Target="/xl/worksheets/sheet5.xml" Id="Re79f567b51db4baf" /><Relationship Type="http://schemas.openxmlformats.org/officeDocument/2006/relationships/worksheet" Target="/xl/worksheets/sheet6.xml" Id="Rca33c9df93634c98" /><Relationship Type="http://schemas.openxmlformats.org/officeDocument/2006/relationships/worksheet" Target="/xl/worksheets/sheet7.xml" Id="R4a7a56592f0c4b15" /><Relationship Type="http://schemas.openxmlformats.org/officeDocument/2006/relationships/worksheet" Target="/xl/worksheets/sheet8.xml" Id="Ra8744eddab824297" /><Relationship Type="http://schemas.microsoft.com/office/2017/10/relationships/person" Target="/xl/persons/person.xml" Id="Ra65ed3f9f0004c43" /></Relationships>
</file>

<file path=xl/persons/person.xml><?xml version="1.0" encoding="utf-8"?>
<xltc:personList xmlns:xltc="http://schemas.microsoft.com/office/spreadsheetml/2018/threadedcomments">
  <xltc:person displayName="Alimi Muhammad Adewale" id="{E8374112-964F-4DCC-882F-6E1CD3A4BD3E}"/>
</xltc:personList>
</file>

<file path=xl/tables/table1.xml><?xml version="1.0" encoding="utf-8"?>
<x:table xmlns:x="http://schemas.openxmlformats.org/spreadsheetml/2006/main" id="1" name="LeadsTable" displayName="LeadsTable" ref="A4:AA124" headerRowCount="1" totalsRowCount="0" totalsRowShown="0">
  <x:tableColumns count="27">
    <x:tableColumn id="1" name="Date Found"/>
    <x:tableColumn id="2" name="Source"/>
    <x:tableColumn id="3" name="Lead Type"/>
    <x:tableColumn id="4" name="Professor or Contact Name"/>
    <x:tableColumn id="5" name="Role or Title"/>
    <x:tableColumn id="6" name="Institution"/>
    <x:tableColumn id="7" name="Department or Lab"/>
    <x:tableColumn id="8" name="Country"/>
    <x:tableColumn id="9" name="Field"/>
    <x:tableColumn id="10" name="Project Keywords"/>
    <x:tableColumn id="11" name="Opportunity Level"/>
    <x:tableColumn id="12" name="Funding Status"/>
    <x:tableColumn id="13" name="Deadline"/>
    <x:tableColumn id="14" name="Start Date"/>
    <x:tableColumn id="15" name="Email"/>
    <x:tableColumn id="16" name="Profile or Post URL"/>
    <x:tableColumn id="17" name="Official Page URL"/>
    <x:tableColumn id="18" name="Evidence Snippet"/>
    <x:tableColumn id="19" name="Fit Score"/>
    <x:tableColumn id="20" name="Priority"/>
    <x:tableColumn id="21" name="Outreach Status"/>
    <x:tableColumn id="22" name="Last Contacted"/>
    <x:tableColumn id="23" name="Follow-up Date"/>
    <x:tableColumn id="24" name="Next Action"/>
    <x:tableColumn id="25" name="Draft Email Notes"/>
    <x:tableColumn id="26" name="CV Version Sent"/>
    <x:tableColumn id="27" name="Response Notes"/>
  </x:tableColumns>
  <x:tableStyleInfo name="TableStyleMedium2" showFirstColumn="0" showLastColumn="0" showRowStripes="1" showColumnStripes="0"/>
</x:table>
</file>

<file path=xl/tables/table2.xml><?xml version="1.0" encoding="utf-8"?>
<x:table xmlns:x="http://schemas.openxmlformats.org/spreadsheetml/2006/main" id="2" name="LinkedInSearchesTable" displayName="LinkedInSearchesTable" ref="A4:F64" headerRowCount="1" totalsRowCount="0" totalsRowShown="0">
  <x:tableColumns count="6">
    <x:tableColumn id="1" name="Category"/>
    <x:tableColumn id="2" name="Search Name"/>
    <x:tableColumn id="3" name="Cadence"/>
    <x:tableColumn id="4" name="Boolean Query"/>
    <x:tableColumn id="5" name="Manual LinkedIn URL"/>
    <x:tableColumn id="6" name="Notes"/>
  </x:tableColumns>
  <x:tableStyleInfo name="TableStyleMedium2" showFirstColumn="0" showLastColumn="0" showRowStripes="1" showColumnStripes="0"/>
</x:table>
</file>

<file path=xl/tables/table3.xml><?xml version="1.0" encoding="utf-8"?>
<x:table xmlns:x="http://schemas.openxmlformats.org/spreadsheetml/2006/main" id="3" name="PublicSearchesTable" displayName="PublicSearchesTable" ref="A4:F78" headerRowCount="1" totalsRowCount="0" totalsRowShown="0">
  <x:tableColumns count="6">
    <x:tableColumn id="1" name="Cadence"/>
    <x:tableColumn id="2" name="Search Query"/>
    <x:tableColumn id="3" name="Google URL"/>
    <x:tableColumn id="4" name="Best Sources"/>
    <x:tableColumn id="5" name="Lead Type"/>
    <x:tableColumn id="6" name="Notes"/>
  </x:tableColumns>
  <x:tableStyleInfo name="TableStyleMedium2" showFirstColumn="0" showLastColumn="0" showRowStripes="1" showColumnStripes="0"/>
</x:table>
</file>

<file path=xl/tables/table4.xml><?xml version="1.0" encoding="utf-8"?>
<x:table xmlns:x="http://schemas.openxmlformats.org/spreadsheetml/2006/main" id="4" name="ManualLinkedInCaptureTable" displayName="ManualLinkedInCaptureTable" ref="A4:F104" headerRowCount="1" totalsRowCount="0" totalsRowShown="0">
  <x:tableColumns count="6">
    <x:tableColumn id="1" name="Date Captured"/>
    <x:tableColumn id="2" name="LinkedIn URL"/>
    <x:tableColumn id="3" name="Person/Post"/>
    <x:tableColumn id="4" name="Why it matters"/>
    <x:tableColumn id="5" name="Next action"/>
    <x:tableColumn id="6" name="Transferred to Leads?"/>
  </x:tableColumns>
  <x:tableStyleInfo name="TableStyleMedium2" showFirstColumn="0" showLastColumn="0" showRowStripes="1" showColumnStripes="0"/>
</x:table>
</file>

<file path=xl/tables/table5.xml><?xml version="1.0" encoding="utf-8"?>
<x:table xmlns:x="http://schemas.openxmlformats.org/spreadsheetml/2006/main" id="5" name="ScoringGuideTable" displayName="ScoringGuideTable" ref="A4:E11" headerRowCount="1" totalsRowCount="0" totalsRowShown="0">
  <x:tableColumns count="5">
    <x:tableColumn id="1" name="Criterion"/>
    <x:tableColumn id="2" name="Score Range"/>
    <x:tableColumn id="3" name="High Score Signal"/>
    <x:tableColumn id="4" name="Low Score Signal"/>
    <x:tableColumn id="5" name="Notes"/>
  </x:tableColumns>
  <x:tableStyleInfo name="TableStyleMedium2" showFirstColumn="0" showLastColumn="0" showRowStripes="1" showColumnStripes="0"/>
</x:table>
</file>

<file path=xl/tables/table6.xml><?xml version="1.0" encoding="utf-8"?>
<x:table xmlns:x="http://schemas.openxmlformats.org/spreadsheetml/2006/main" id="6" name="ListsTable" displayName="ListsTable" ref="A4:D27" headerRowCount="1" totalsRowCount="0" totalsRowShown="0">
  <x:tableColumns count="4">
    <x:tableColumn id="1" name="Lead Types"/>
    <x:tableColumn id="2" name="Outreach Statuses"/>
    <x:tableColumn id="3" name="Next Actions"/>
    <x:tableColumn id="4" name="Target Field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0873b88b0b844ea" /></Relationships>
</file>

<file path=xl/worksheets/_rels/sheet3.xml.rels>&#65279;<?xml version="1.0" encoding="utf-8"?><Relationships xmlns="http://schemas.openxmlformats.org/package/2006/relationships"><Relationship Type="http://schemas.openxmlformats.org/officeDocument/2006/relationships/table" Target="/xl/tables/table2.xml" Id="Re08faf6085294ada" /></Relationships>
</file>

<file path=xl/worksheets/_rels/sheet4.xml.rels>&#65279;<?xml version="1.0" encoding="utf-8"?><Relationships xmlns="http://schemas.openxmlformats.org/package/2006/relationships"><Relationship Type="http://schemas.openxmlformats.org/officeDocument/2006/relationships/table" Target="/xl/tables/table3.xml" Id="R9b6c9feba0564ab9" /></Relationships>
</file>

<file path=xl/worksheets/_rels/sheet5.xml.rels>&#65279;<?xml version="1.0" encoding="utf-8"?><Relationships xmlns="http://schemas.openxmlformats.org/package/2006/relationships"><Relationship Type="http://schemas.openxmlformats.org/officeDocument/2006/relationships/table" Target="/xl/tables/table4.xml" Id="R1dc8b33e6b79419e" /></Relationships>
</file>

<file path=xl/worksheets/_rels/sheet7.xml.rels>&#65279;<?xml version="1.0" encoding="utf-8"?><Relationships xmlns="http://schemas.openxmlformats.org/package/2006/relationships"><Relationship Type="http://schemas.openxmlformats.org/officeDocument/2006/relationships/table" Target="/xl/tables/table5.xml" Id="R079bb463d6aa4231" /></Relationships>
</file>

<file path=xl/worksheets/_rels/sheet8.xml.rels>&#65279;<?xml version="1.0" encoding="utf-8"?><Relationships xmlns="http://schemas.openxmlformats.org/package/2006/relationships"><Relationship Type="http://schemas.openxmlformats.org/officeDocument/2006/relationships/table" Target="/xl/tables/table6.xml" Id="R857dbdf312a44eeb"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4" hidden="0" customWidth="1"/>
    <x:col min="4" max="4" width="24" hidden="0" customWidth="1"/>
    <x:col min="5" max="5" width="24" hidden="0" customWidth="1"/>
    <x:col min="6" max="6" width="24" hidden="0" customWidth="1"/>
    <x:col min="7" max="7" width="24" hidden="0" customWidth="1"/>
    <x:col min="8" max="8" width="24" hidden="0" customWidth="1"/>
  </x:cols>
  <x:sheetData>
    <x:row r="1">
      <x:c r="A1" s="7" t="str">
        <x:v>PhD/MSc Opportunity Tracker</x:v>
      </x:c>
      <x:c r="B1" s="8"/>
      <x:c r="C1" s="8"/>
      <x:c r="D1" s="8"/>
      <x:c r="E1" s="8"/>
      <x:c r="F1" s="8"/>
      <x:c r="G1" s="8"/>
      <x:c r="H1" s="9"/>
    </x:row>
    <x:row r="2">
      <x:c r="A2" s="10" t="str">
        <x:v>Built for Alimi Muhammad Adewale. Manual LinkedIn capture + public-source lead tracking. Generated 2026-09-01.</x:v>
      </x:c>
      <x:c r="B2" s="11"/>
      <x:c r="C2" s="11"/>
      <x:c r="D2" s="11"/>
      <x:c r="E2" s="11"/>
      <x:c r="F2" s="11"/>
      <x:c r="G2" s="11"/>
      <x:c r="H2" s="12"/>
    </x:row>
    <x:row r="4">
      <x:c r="A4" s="18" t="str">
        <x:v>Metric</x:v>
      </x:c>
      <x:c r="B4" s="18" t="str">
        <x:v>Value</x:v>
      </x:c>
      <x:c r="D4" s="18" t="str">
        <x:v>Daily Manual Routine</x:v>
      </x:c>
      <x:c r="E4" s="18" t="str">
        <x:v>Target</x:v>
      </x:c>
      <x:c r="F4" s="18" t="str">
        <x:v>Output</x:v>
      </x:c>
      <x:c r="G4" s="18" t="str">
        <x:v>Status</x:v>
      </x:c>
      <x:c r="H4" s="18" t="str">
        <x:v>Notes</x:v>
      </x:c>
    </x:row>
    <x:row r="5">
      <x:c r="A5" s="21" t="str">
        <x:v>Total leads</x:v>
      </x:c>
      <x:c r="B5" s="19" t="n">
        <x:f>COUNTIF(Leads!P5:P124,"?*")</x:f>
        <x:v>0</x:v>
      </x:c>
      <x:c r="D5" s="22" t="str">
        <x:v>Run 3 LinkedIn post searches</x:v>
      </x:c>
      <x:c r="E5" s="22" t="str">
        <x:v>Posts</x:v>
      </x:c>
      <x:c r="F5" s="22" t="str">
        <x:v>Add links only</x:v>
      </x:c>
      <x:c r="G5" s="22" t="str">
        <x:v>Manual</x:v>
      </x:c>
      <x:c r="H5" s="22" t="str">
        <x:v>Use LinkedIn filters: Posts + Latest</x:v>
      </x:c>
    </x:row>
    <x:row r="6">
      <x:c r="A6" s="21" t="str">
        <x:v>High-fit leads (80+)</x:v>
      </x:c>
      <x:c r="B6" s="19" t="n">
        <x:f>COUNTIF(Leads!S5:S124,"&gt;=80")</x:f>
        <x:v>0</x:v>
      </x:c>
      <x:c r="D6" s="22" t="str">
        <x:v>Run 2 LinkedIn people searches</x:v>
      </x:c>
      <x:c r="E6" s="22" t="str">
        <x:v>People</x:v>
      </x:c>
      <x:c r="F6" s="22" t="str">
        <x:v>Student/professor leads</x:v>
      </x:c>
      <x:c r="G6" s="22" t="str">
        <x:v>Manual</x:v>
      </x:c>
      <x:c r="H6" s="22" t="str">
        <x:v>Filter by target school</x:v>
      </x:c>
    </x:row>
    <x:row r="7">
      <x:c r="A7" s="21" t="str">
        <x:v>Ready to send</x:v>
      </x:c>
      <x:c r="B7" s="19" t="n">
        <x:f>COUNTIF(Leads!U5:U124,"Ready to send")</x:f>
        <x:v>0</x:v>
      </x:c>
      <x:c r="D7" s="22" t="str">
        <x:v>Review public-source queries</x:v>
      </x:c>
      <x:c r="E7" s="22" t="str">
        <x:v>Public web</x:v>
      </x:c>
      <x:c r="F7" s="22" t="str">
        <x:v>Official adverts</x:v>
      </x:c>
      <x:c r="G7" s="22" t="str">
        <x:v>Automatable</x:v>
      </x:c>
      <x:c r="H7" s="22" t="str">
        <x:v>Use search URLs or future API</x:v>
      </x:c>
    </x:row>
    <x:row r="8">
      <x:c r="A8" s="21" t="str">
        <x:v>Follow-up due or soon</x:v>
      </x:c>
      <x:c r="B8" s="19" t="n">
        <x:f>COUNTIF(Leads!U5:U124,"Follow-up due")</x:f>
        <x:v>0</x:v>
      </x:c>
      <x:c r="D8" s="22" t="str">
        <x:v>Score new leads</x:v>
      </x:c>
      <x:c r="E8" s="22" t="str">
        <x:v>Fit score</x:v>
      </x:c>
      <x:c r="F8" s="22" t="str">
        <x:v>Priority</x:v>
      </x:c>
      <x:c r="G8" s="22" t="str">
        <x:v>Manual</x:v>
      </x:c>
      <x:c r="H8" s="22" t="str">
        <x:v>80+ = high fit</x:v>
      </x:c>
    </x:row>
    <x:row r="9">
      <x:c r="A9" s="21" t="str">
        <x:v>Replies</x:v>
      </x:c>
      <x:c r="B9" s="19" t="n">
        <x:f>COUNTIF(Leads!U5:U124,"Replied")</x:f>
        <x:v>0</x:v>
      </x:c>
      <x:c r="D9" s="22" t="str">
        <x:v>Draft outreach</x:v>
      </x:c>
      <x:c r="E9" s="22" t="str">
        <x:v>Professors/students</x:v>
      </x:c>
      <x:c r="F9" s="22" t="str">
        <x:v>Email/message</x:v>
      </x:c>
      <x:c r="G9" s="22" t="str">
        <x:v>Manual</x:v>
      </x:c>
      <x:c r="H9" s="22" t="str">
        <x:v>Do not bulk-message</x:v>
      </x:c>
    </x:row>
    <x:row r="10">
      <x:c r="A10" s="21" t="str">
        <x:v>Applications submitted</x:v>
      </x:c>
      <x:c r="B10" s="19" t="n">
        <x:f>COUNTIF(Leads!U5:U124,"Applied")</x:f>
        <x:v>0</x:v>
      </x:c>
      <x:c r="D10" s="22" t="str">
        <x:v>Follow up</x:v>
      </x:c>
      <x:c r="E10" s="22" t="str">
        <x:v>7-10 days</x:v>
      </x:c>
      <x:c r="F10" s="22" t="str">
        <x:v>Updated status</x:v>
      </x:c>
      <x:c r="G10" s="22" t="str">
        <x:v>Manual</x:v>
      </x:c>
      <x:c r="H10" s="22" t="str">
        <x:v>One polite follow-up</x:v>
      </x:c>
    </x:row>
    <x:row r="11">
      <x:c r="A11" s="21" t="str">
        <x:v>Archived</x:v>
      </x:c>
      <x:c r="B11" s="19" t="n">
        <x:f>COUNTIF(Leads!U5:U124,"Archived")</x:f>
        <x:v>0</x:v>
      </x:c>
      <x:c r="D11" s="22" t="str">
        <x:v>Archive weak leads</x:v>
      </x:c>
      <x:c r="E11" s="22" t="str">
        <x:v>Low fit</x:v>
      </x:c>
      <x:c r="F11" s="22" t="str">
        <x:v>Clean pipeline</x:v>
      </x:c>
      <x:c r="G11" s="22" t="str">
        <x:v>Manual</x:v>
      </x:c>
      <x:c r="H11" s="22" t="str">
        <x:v>Keep notes brief</x:v>
      </x:c>
    </x:row>
    <x:row r="12">
      <x:c r="A12" s="21" t="str">
        <x:v>Last generated</x:v>
      </x:c>
      <x:c r="B12" s="19" t="str">
        <x:v>2026-09-01</x:v>
      </x:c>
      <x:c r="D12" s="22" t="str">
        <x:v>Refresh keyword bank</x:v>
      </x:c>
      <x:c r="E12" s="22" t="str">
        <x:v>Monthly</x:v>
      </x:c>
      <x:c r="F12" s="22" t="str">
        <x:v>New searches</x:v>
      </x:c>
      <x:c r="G12" s="22" t="str">
        <x:v>Manual</x:v>
      </x:c>
      <x:c r="H12" s="22" t="str">
        <x:v>Add new program terms</x:v>
      </x:c>
    </x:row>
  </x:sheetData>
  <x:mergeCells>
    <x:mergeCell ref="A1:H1"/>
    <x:mergeCell ref="A2: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8" hidden="0" customWidth="1"/>
    <x:col min="4" max="4" width="24" hidden="0" customWidth="1"/>
    <x:col min="5" max="5" width="22" hidden="0" customWidth="1"/>
    <x:col min="6" max="6" width="24" hidden="0" customWidth="1"/>
    <x:col min="7" max="7" width="24" hidden="0" customWidth="1"/>
    <x:col min="8" max="8" width="14" hidden="0" customWidth="1"/>
    <x:col min="9" max="9" width="22" hidden="0" customWidth="1"/>
    <x:col min="10" max="10" width="30" hidden="0" customWidth="1"/>
    <x:col min="11" max="11" width="16" hidden="0" customWidth="1"/>
    <x:col min="12" max="12" width="16" hidden="0" customWidth="1"/>
    <x:col min="13" max="13" width="12" hidden="0" customWidth="1"/>
    <x:col min="14" max="14" width="12" hidden="0" customWidth="1"/>
    <x:col min="15" max="15" width="22" hidden="0" customWidth="1"/>
    <x:col min="16" max="16" width="36" hidden="0" customWidth="1"/>
    <x:col min="17" max="17" width="36" hidden="0" customWidth="1"/>
    <x:col min="18" max="18" width="40" hidden="0" customWidth="1"/>
    <x:col min="19" max="19" width="10" hidden="0" customWidth="1"/>
    <x:col min="20" max="20" width="12" hidden="0" customWidth="1"/>
    <x:col min="21" max="21" width="16" hidden="0" customWidth="1"/>
    <x:col min="22" max="22" width="13" hidden="0" customWidth="1"/>
    <x:col min="23" max="23" width="13" hidden="0" customWidth="1"/>
    <x:col min="24" max="24" width="18" hidden="0" customWidth="1"/>
    <x:col min="25" max="25" width="30" hidden="0" customWidth="1"/>
    <x:col min="26" max="26" width="20" hidden="0" customWidth="1"/>
    <x:col min="27" max="27" width="36" hidden="0" customWidth="1"/>
  </x:cols>
  <x:sheetData>
    <x:row r="1">
      <x:c r="A1" s="7" t="str">
        <x:v>Leads</x:v>
      </x:c>
      <x:c r="B1" s="8"/>
      <x:c r="C1" s="8"/>
      <x:c r="D1" s="8"/>
      <x:c r="E1" s="8"/>
      <x:c r="F1" s="8"/>
      <x:c r="G1" s="8"/>
      <x:c r="H1" s="8"/>
      <x:c r="I1" s="8"/>
      <x:c r="J1" s="8"/>
      <x:c r="K1" s="8"/>
      <x:c r="L1" s="8"/>
      <x:c r="M1" s="8"/>
      <x:c r="N1" s="8"/>
      <x:c r="O1" s="8"/>
      <x:c r="P1" s="8"/>
      <x:c r="Q1" s="8"/>
      <x:c r="R1" s="8"/>
      <x:c r="S1" s="8"/>
      <x:c r="T1" s="8"/>
      <x:c r="U1" s="8"/>
      <x:c r="V1" s="8"/>
      <x:c r="W1" s="8"/>
      <x:c r="X1" s="8"/>
      <x:c r="Y1" s="8"/>
      <x:c r="Z1" s="8"/>
      <x:c r="AA1" s="9"/>
    </x:row>
    <x:row r="2">
      <x:c r="A2" s="10" t="str">
        <x:v>Main working table. Add LinkedIn links manually; use public-source rows for automatable searches.</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2"/>
    </x:row>
    <x:row r="4">
      <x:c r="A4" s="17" t="str">
        <x:v>Date Found</x:v>
      </x:c>
      <x:c r="B4" s="17" t="str">
        <x:v>Source</x:v>
      </x:c>
      <x:c r="C4" s="17" t="str">
        <x:v>Lead Type</x:v>
      </x:c>
      <x:c r="D4" s="17" t="str">
        <x:v>Professor or Contact Name</x:v>
      </x:c>
      <x:c r="E4" s="17" t="str">
        <x:v>Role or Title</x:v>
      </x:c>
      <x:c r="F4" s="17" t="str">
        <x:v>Institution</x:v>
      </x:c>
      <x:c r="G4" s="17" t="str">
        <x:v>Department or Lab</x:v>
      </x:c>
      <x:c r="H4" s="17" t="str">
        <x:v>Country</x:v>
      </x:c>
      <x:c r="I4" s="17" t="str">
        <x:v>Field</x:v>
      </x:c>
      <x:c r="J4" s="17" t="str">
        <x:v>Project Keywords</x:v>
      </x:c>
      <x:c r="K4" s="17" t="str">
        <x:v>Opportunity Level</x:v>
      </x:c>
      <x:c r="L4" s="17" t="str">
        <x:v>Funding Status</x:v>
      </x:c>
      <x:c r="M4" s="17" t="str">
        <x:v>Deadline</x:v>
      </x:c>
      <x:c r="N4" s="17" t="str">
        <x:v>Start Date</x:v>
      </x:c>
      <x:c r="O4" s="17" t="str">
        <x:v>Email</x:v>
      </x:c>
      <x:c r="P4" s="17" t="str">
        <x:v>Profile or Post URL</x:v>
      </x:c>
      <x:c r="Q4" s="17" t="str">
        <x:v>Official Page URL</x:v>
      </x:c>
      <x:c r="R4" s="17" t="str">
        <x:v>Evidence Snippet</x:v>
      </x:c>
      <x:c r="S4" s="17" t="str">
        <x:v>Fit Score</x:v>
      </x:c>
      <x:c r="T4" s="17" t="str">
        <x:v>Priority</x:v>
      </x:c>
      <x:c r="U4" s="17" t="str">
        <x:v>Outreach Status</x:v>
      </x:c>
      <x:c r="V4" s="17" t="str">
        <x:v>Last Contacted</x:v>
      </x:c>
      <x:c r="W4" s="17" t="str">
        <x:v>Follow-up Date</x:v>
      </x:c>
      <x:c r="X4" s="17" t="str">
        <x:v>Next Action</x:v>
      </x:c>
      <x:c r="Y4" s="17" t="str">
        <x:v>Draft Email Notes</x:v>
      </x:c>
      <x:c r="Z4" s="17" t="str">
        <x:v>CV Version Sent</x:v>
      </x:c>
      <x:c r="AA4" s="17" t="str">
        <x:v>Response Notes</x:v>
      </x:c>
    </x:row>
    <x:row r="5">
      <x:c r="A5" s="25" t="str">
        <x:v>2026-09-01</x:v>
      </x:c>
      <x:c r="B5" s="26" t="str">
        <x:v>jobs.ac.uk</x:v>
      </x:c>
      <x:c r="C5" s="26" t="str">
        <x:v>PhD advert</x:v>
      </x:c>
      <x:c r="D5" s="26" t="str"/>
      <x:c r="E5" s="26" t="str">
        <x:v>PhD Studentship: Developing Fair and Robust Cancer Risk Prediction Models Using Health Data</x:v>
      </x:c>
      <x:c r="F5" s="26" t="str">
        <x:v>University of Cambridge</x:v>
      </x:c>
      <x:c r="G5" s="26" t="str"/>
      <x:c r="H5" s="26" t="str"/>
      <x:c r="I5" s="26" t="str">
        <x:v>AI for health</x:v>
      </x:c>
      <x:c r="J5" s="26" t="str">
        <x:v>AI for health PhD position health data</x:v>
      </x:c>
      <x:c r="K5" s="26" t="str">
        <x:v>PhD</x:v>
      </x:c>
      <x:c r="L5" s="26" t="str">
        <x:v>Funded / verify</x:v>
      </x:c>
      <x:c r="M5" s="25" t="str">
        <x:v>2026-10-01</x:v>
      </x:c>
      <x:c r="N5" s="25" t="str"/>
      <x:c r="O5" s="26" t="str"/>
      <x:c r="P5" s="26" t="str"/>
      <x:c r="Q5" s="26" t="str">
        <x:v>https://www.jobs.ac.uk/job/DRY050/phd-studentship-developing-fair-and-robust-cancer-risk-prediction-models-using-health-data</x:v>
      </x:c>
      <x:c r="R5" s="26" t="str">
        <x:v>PhD Studentship: Developing Fair and Robust Cancer Risk Prediction Models Using Health Data Department of Public Health and Primary Care - Cardiovascular Epidemiology Unit University of Cambridge Location: Cambridge Salary: £20,780 Date Placed: 17 Jun Closes 01 Oct Save</x:v>
      </x:c>
      <x:c r="S5" s="27" t="n">
        <x:v>65</x:v>
      </x:c>
      <x:c r="T5" s="26" t="str">
        <x:v>Medium</x:v>
      </x:c>
      <x:c r="U5" s="26" t="str">
        <x:v>Not contacted</x:v>
      </x:c>
      <x:c r="V5" s="25" t="str"/>
      <x:c r="W5" s="25" t="str"/>
      <x:c r="X5" s="26" t="str">
        <x:v>Read lab page</x:v>
      </x:c>
      <x:c r="Y5" s="26" t="str"/>
      <x:c r="Z5" s="26" t="str"/>
      <x:c r="AA5" s="26" t="str"/>
    </x:row>
    <x:row r="6">
      <x:c r="A6" s="25" t="str"/>
      <x:c r="B6" s="26" t="str"/>
      <x:c r="C6" s="26" t="str"/>
      <x:c r="D6" s="26" t="str"/>
      <x:c r="E6" s="26" t="str"/>
      <x:c r="F6" s="26" t="str"/>
      <x:c r="G6" s="26" t="str"/>
      <x:c r="H6" s="26" t="str"/>
      <x:c r="I6" s="26" t="str"/>
      <x:c r="J6" s="26" t="str"/>
      <x:c r="K6" s="26" t="str"/>
      <x:c r="L6" s="26" t="str"/>
      <x:c r="M6" s="25" t="str"/>
      <x:c r="N6" s="25" t="str"/>
      <x:c r="O6" s="26" t="str"/>
      <x:c r="P6" s="26" t="str"/>
      <x:c r="Q6" s="26" t="str"/>
      <x:c r="R6" s="26" t="str"/>
      <x:c r="S6" s="27" t="str"/>
      <x:c r="T6" s="26" t="str"/>
      <x:c r="U6" s="26" t="str"/>
      <x:c r="V6" s="25" t="str"/>
      <x:c r="W6" s="25" t="str"/>
      <x:c r="X6" s="26" t="str"/>
      <x:c r="Y6" s="26" t="str"/>
      <x:c r="Z6" s="26" t="str"/>
      <x:c r="AA6" s="26" t="str"/>
    </x:row>
    <x:row r="7">
      <x:c r="A7" s="25" t="str"/>
      <x:c r="B7" s="26" t="str"/>
      <x:c r="C7" s="26" t="str"/>
      <x:c r="D7" s="26" t="str"/>
      <x:c r="E7" s="26" t="str"/>
      <x:c r="F7" s="26" t="str"/>
      <x:c r="G7" s="26" t="str"/>
      <x:c r="H7" s="26" t="str"/>
      <x:c r="I7" s="26" t="str"/>
      <x:c r="J7" s="26" t="str"/>
      <x:c r="K7" s="26" t="str"/>
      <x:c r="L7" s="26" t="str"/>
      <x:c r="M7" s="25" t="str"/>
      <x:c r="N7" s="25" t="str"/>
      <x:c r="O7" s="26" t="str"/>
      <x:c r="P7" s="26" t="str"/>
      <x:c r="Q7" s="26" t="str"/>
      <x:c r="R7" s="26" t="str"/>
      <x:c r="S7" s="27" t="str"/>
      <x:c r="T7" s="26" t="str"/>
      <x:c r="U7" s="26" t="str"/>
      <x:c r="V7" s="25" t="str"/>
      <x:c r="W7" s="25" t="str"/>
      <x:c r="X7" s="26" t="str"/>
      <x:c r="Y7" s="26" t="str"/>
      <x:c r="Z7" s="26" t="str"/>
      <x:c r="AA7" s="26" t="str"/>
    </x:row>
    <x:row r="8">
      <x:c r="A8" s="25" t="str"/>
      <x:c r="B8" s="26" t="str"/>
      <x:c r="C8" s="26" t="str"/>
      <x:c r="D8" s="26" t="str"/>
      <x:c r="E8" s="26" t="str"/>
      <x:c r="F8" s="26" t="str"/>
      <x:c r="G8" s="26" t="str"/>
      <x:c r="H8" s="26" t="str"/>
      <x:c r="I8" s="26" t="str"/>
      <x:c r="J8" s="26" t="str"/>
      <x:c r="K8" s="26" t="str"/>
      <x:c r="L8" s="26" t="str"/>
      <x:c r="M8" s="25" t="str"/>
      <x:c r="N8" s="25" t="str"/>
      <x:c r="O8" s="26" t="str"/>
      <x:c r="P8" s="26" t="str"/>
      <x:c r="Q8" s="26" t="str"/>
      <x:c r="R8" s="26" t="str"/>
      <x:c r="S8" s="27" t="str"/>
      <x:c r="T8" s="26" t="str"/>
      <x:c r="U8" s="26" t="str"/>
      <x:c r="V8" s="25" t="str"/>
      <x:c r="W8" s="25" t="str"/>
      <x:c r="X8" s="26" t="str"/>
      <x:c r="Y8" s="26" t="str"/>
      <x:c r="Z8" s="26" t="str"/>
      <x:c r="AA8" s="26" t="str"/>
    </x:row>
    <x:row r="9">
      <x:c r="A9" s="25" t="str"/>
      <x:c r="B9" s="26" t="str"/>
      <x:c r="C9" s="26" t="str"/>
      <x:c r="D9" s="26" t="str"/>
      <x:c r="E9" s="26" t="str"/>
      <x:c r="F9" s="26" t="str"/>
      <x:c r="G9" s="26" t="str"/>
      <x:c r="H9" s="26" t="str"/>
      <x:c r="I9" s="26" t="str"/>
      <x:c r="J9" s="26" t="str"/>
      <x:c r="K9" s="26" t="str"/>
      <x:c r="L9" s="26" t="str"/>
      <x:c r="M9" s="25" t="str"/>
      <x:c r="N9" s="25" t="str"/>
      <x:c r="O9" s="26" t="str"/>
      <x:c r="P9" s="26" t="str"/>
      <x:c r="Q9" s="26" t="str"/>
      <x:c r="R9" s="26" t="str"/>
      <x:c r="S9" s="27" t="str"/>
      <x:c r="T9" s="26" t="str"/>
      <x:c r="U9" s="26" t="str"/>
      <x:c r="V9" s="25" t="str"/>
      <x:c r="W9" s="25" t="str"/>
      <x:c r="X9" s="26" t="str"/>
      <x:c r="Y9" s="26" t="str"/>
      <x:c r="Z9" s="26" t="str"/>
      <x:c r="AA9" s="26" t="str"/>
    </x:row>
    <x:row r="10">
      <x:c r="A10" s="25" t="str"/>
      <x:c r="B10" s="26" t="str"/>
      <x:c r="C10" s="26" t="str"/>
      <x:c r="D10" s="26" t="str"/>
      <x:c r="E10" s="26" t="str"/>
      <x:c r="F10" s="26" t="str"/>
      <x:c r="G10" s="26" t="str"/>
      <x:c r="H10" s="26" t="str"/>
      <x:c r="I10" s="26" t="str"/>
      <x:c r="J10" s="26" t="str"/>
      <x:c r="K10" s="26" t="str"/>
      <x:c r="L10" s="26" t="str"/>
      <x:c r="M10" s="25" t="str"/>
      <x:c r="N10" s="25" t="str"/>
      <x:c r="O10" s="26" t="str"/>
      <x:c r="P10" s="26" t="str"/>
      <x:c r="Q10" s="26" t="str"/>
      <x:c r="R10" s="26" t="str"/>
      <x:c r="S10" s="27" t="str"/>
      <x:c r="T10" s="26" t="str"/>
      <x:c r="U10" s="26" t="str"/>
      <x:c r="V10" s="25" t="str"/>
      <x:c r="W10" s="25" t="str"/>
      <x:c r="X10" s="26" t="str"/>
      <x:c r="Y10" s="26" t="str"/>
      <x:c r="Z10" s="26" t="str"/>
      <x:c r="AA10" s="26" t="str"/>
    </x:row>
    <x:row r="11">
      <x:c r="A11" s="25" t="str"/>
      <x:c r="B11" s="26" t="str"/>
      <x:c r="C11" s="26" t="str"/>
      <x:c r="D11" s="26" t="str"/>
      <x:c r="E11" s="26" t="str"/>
      <x:c r="F11" s="26" t="str"/>
      <x:c r="G11" s="26" t="str"/>
      <x:c r="H11" s="26" t="str"/>
      <x:c r="I11" s="26" t="str"/>
      <x:c r="J11" s="26" t="str"/>
      <x:c r="K11" s="26" t="str"/>
      <x:c r="L11" s="26" t="str"/>
      <x:c r="M11" s="25" t="str"/>
      <x:c r="N11" s="25" t="str"/>
      <x:c r="O11" s="26" t="str"/>
      <x:c r="P11" s="26" t="str"/>
      <x:c r="Q11" s="26" t="str"/>
      <x:c r="R11" s="26" t="str"/>
      <x:c r="S11" s="27" t="str"/>
      <x:c r="T11" s="26" t="str"/>
      <x:c r="U11" s="26" t="str"/>
      <x:c r="V11" s="25" t="str"/>
      <x:c r="W11" s="25" t="str"/>
      <x:c r="X11" s="26" t="str"/>
      <x:c r="Y11" s="26" t="str"/>
      <x:c r="Z11" s="26" t="str"/>
      <x:c r="AA11" s="26" t="str"/>
    </x:row>
    <x:row r="12">
      <x:c r="A12" s="25" t="str"/>
      <x:c r="B12" s="26" t="str"/>
      <x:c r="C12" s="26" t="str"/>
      <x:c r="D12" s="26" t="str"/>
      <x:c r="E12" s="26" t="str"/>
      <x:c r="F12" s="26" t="str"/>
      <x:c r="G12" s="26" t="str"/>
      <x:c r="H12" s="26" t="str"/>
      <x:c r="I12" s="26" t="str"/>
      <x:c r="J12" s="26" t="str"/>
      <x:c r="K12" s="26" t="str"/>
      <x:c r="L12" s="26" t="str"/>
      <x:c r="M12" s="25" t="str"/>
      <x:c r="N12" s="25" t="str"/>
      <x:c r="O12" s="26" t="str"/>
      <x:c r="P12" s="26" t="str"/>
      <x:c r="Q12" s="26" t="str"/>
      <x:c r="R12" s="26" t="str"/>
      <x:c r="S12" s="27" t="str"/>
      <x:c r="T12" s="26" t="str"/>
      <x:c r="U12" s="26" t="str"/>
      <x:c r="V12" s="25" t="str"/>
      <x:c r="W12" s="25" t="str"/>
      <x:c r="X12" s="26" t="str"/>
      <x:c r="Y12" s="26" t="str"/>
      <x:c r="Z12" s="26" t="str"/>
      <x:c r="AA12" s="26" t="str"/>
    </x:row>
    <x:row r="13">
      <x:c r="A13" s="25" t="str"/>
      <x:c r="B13" s="26" t="str"/>
      <x:c r="C13" s="26" t="str"/>
      <x:c r="D13" s="26" t="str"/>
      <x:c r="E13" s="26" t="str"/>
      <x:c r="F13" s="26" t="str"/>
      <x:c r="G13" s="26" t="str"/>
      <x:c r="H13" s="26" t="str"/>
      <x:c r="I13" s="26" t="str"/>
      <x:c r="J13" s="26" t="str"/>
      <x:c r="K13" s="26" t="str"/>
      <x:c r="L13" s="26" t="str"/>
      <x:c r="M13" s="25" t="str"/>
      <x:c r="N13" s="25" t="str"/>
      <x:c r="O13" s="26" t="str"/>
      <x:c r="P13" s="26" t="str"/>
      <x:c r="Q13" s="26" t="str"/>
      <x:c r="R13" s="26" t="str"/>
      <x:c r="S13" s="27" t="str"/>
      <x:c r="T13" s="26" t="str"/>
      <x:c r="U13" s="26" t="str"/>
      <x:c r="V13" s="25" t="str"/>
      <x:c r="W13" s="25" t="str"/>
      <x:c r="X13" s="26" t="str"/>
      <x:c r="Y13" s="26" t="str"/>
      <x:c r="Z13" s="26" t="str"/>
      <x:c r="AA13" s="26" t="str"/>
    </x:row>
    <x:row r="14">
      <x:c r="A14" s="25" t="str"/>
      <x:c r="B14" s="26" t="str"/>
      <x:c r="C14" s="26" t="str"/>
      <x:c r="D14" s="26" t="str"/>
      <x:c r="E14" s="26" t="str"/>
      <x:c r="F14" s="26" t="str"/>
      <x:c r="G14" s="26" t="str"/>
      <x:c r="H14" s="26" t="str"/>
      <x:c r="I14" s="26" t="str"/>
      <x:c r="J14" s="26" t="str"/>
      <x:c r="K14" s="26" t="str"/>
      <x:c r="L14" s="26" t="str"/>
      <x:c r="M14" s="25" t="str"/>
      <x:c r="N14" s="25" t="str"/>
      <x:c r="O14" s="26" t="str"/>
      <x:c r="P14" s="26" t="str"/>
      <x:c r="Q14" s="26" t="str"/>
      <x:c r="R14" s="26" t="str"/>
      <x:c r="S14" s="27" t="str"/>
      <x:c r="T14" s="26" t="str"/>
      <x:c r="U14" s="26" t="str"/>
      <x:c r="V14" s="25" t="str"/>
      <x:c r="W14" s="25" t="str"/>
      <x:c r="X14" s="26" t="str"/>
      <x:c r="Y14" s="26" t="str"/>
      <x:c r="Z14" s="26" t="str"/>
      <x:c r="AA14" s="26" t="str"/>
    </x:row>
    <x:row r="15">
      <x:c r="A15" s="25" t="str"/>
      <x:c r="B15" s="26" t="str"/>
      <x:c r="C15" s="26" t="str"/>
      <x:c r="D15" s="26" t="str"/>
      <x:c r="E15" s="26" t="str"/>
      <x:c r="F15" s="26" t="str"/>
      <x:c r="G15" s="26" t="str"/>
      <x:c r="H15" s="26" t="str"/>
      <x:c r="I15" s="26" t="str"/>
      <x:c r="J15" s="26" t="str"/>
      <x:c r="K15" s="26" t="str"/>
      <x:c r="L15" s="26" t="str"/>
      <x:c r="M15" s="25" t="str"/>
      <x:c r="N15" s="25" t="str"/>
      <x:c r="O15" s="26" t="str"/>
      <x:c r="P15" s="26" t="str"/>
      <x:c r="Q15" s="26" t="str"/>
      <x:c r="R15" s="26" t="str"/>
      <x:c r="S15" s="27" t="str"/>
      <x:c r="T15" s="26" t="str"/>
      <x:c r="U15" s="26" t="str"/>
      <x:c r="V15" s="25" t="str"/>
      <x:c r="W15" s="25" t="str"/>
      <x:c r="X15" s="26" t="str"/>
      <x:c r="Y15" s="26" t="str"/>
      <x:c r="Z15" s="26" t="str"/>
      <x:c r="AA15" s="26" t="str"/>
    </x:row>
    <x:row r="16">
      <x:c r="A16" s="25" t="str"/>
      <x:c r="B16" s="26" t="str"/>
      <x:c r="C16" s="26" t="str"/>
      <x:c r="D16" s="26" t="str"/>
      <x:c r="E16" s="26" t="str"/>
      <x:c r="F16" s="26" t="str"/>
      <x:c r="G16" s="26" t="str"/>
      <x:c r="H16" s="26" t="str"/>
      <x:c r="I16" s="26" t="str"/>
      <x:c r="J16" s="26" t="str"/>
      <x:c r="K16" s="26" t="str"/>
      <x:c r="L16" s="26" t="str"/>
      <x:c r="M16" s="25" t="str"/>
      <x:c r="N16" s="25" t="str"/>
      <x:c r="O16" s="26" t="str"/>
      <x:c r="P16" s="26" t="str"/>
      <x:c r="Q16" s="26" t="str"/>
      <x:c r="R16" s="26" t="str"/>
      <x:c r="S16" s="27" t="str"/>
      <x:c r="T16" s="26" t="str"/>
      <x:c r="U16" s="26" t="str"/>
      <x:c r="V16" s="25" t="str"/>
      <x:c r="W16" s="25" t="str"/>
      <x:c r="X16" s="26" t="str"/>
      <x:c r="Y16" s="26" t="str"/>
      <x:c r="Z16" s="26" t="str"/>
      <x:c r="AA16" s="26" t="str"/>
    </x:row>
    <x:row r="17">
      <x:c r="A17" s="25" t="str"/>
      <x:c r="B17" s="26" t="str"/>
      <x:c r="C17" s="26" t="str"/>
      <x:c r="D17" s="26" t="str"/>
      <x:c r="E17" s="26" t="str"/>
      <x:c r="F17" s="26" t="str"/>
      <x:c r="G17" s="26" t="str"/>
      <x:c r="H17" s="26" t="str"/>
      <x:c r="I17" s="26" t="str"/>
      <x:c r="J17" s="26" t="str"/>
      <x:c r="K17" s="26" t="str"/>
      <x:c r="L17" s="26" t="str"/>
      <x:c r="M17" s="25" t="str"/>
      <x:c r="N17" s="25" t="str"/>
      <x:c r="O17" s="26" t="str"/>
      <x:c r="P17" s="26" t="str"/>
      <x:c r="Q17" s="26" t="str"/>
      <x:c r="R17" s="26" t="str"/>
      <x:c r="S17" s="27" t="str"/>
      <x:c r="T17" s="26" t="str"/>
      <x:c r="U17" s="26" t="str"/>
      <x:c r="V17" s="25" t="str"/>
      <x:c r="W17" s="25" t="str"/>
      <x:c r="X17" s="26" t="str"/>
      <x:c r="Y17" s="26" t="str"/>
      <x:c r="Z17" s="26" t="str"/>
      <x:c r="AA17" s="26" t="str"/>
    </x:row>
    <x:row r="18">
      <x:c r="A18" s="25" t="str"/>
      <x:c r="B18" s="26" t="str"/>
      <x:c r="C18" s="26" t="str"/>
      <x:c r="D18" s="26" t="str"/>
      <x:c r="E18" s="26" t="str"/>
      <x:c r="F18" s="26" t="str"/>
      <x:c r="G18" s="26" t="str"/>
      <x:c r="H18" s="26" t="str"/>
      <x:c r="I18" s="26" t="str"/>
      <x:c r="J18" s="26" t="str"/>
      <x:c r="K18" s="26" t="str"/>
      <x:c r="L18" s="26" t="str"/>
      <x:c r="M18" s="25" t="str"/>
      <x:c r="N18" s="25" t="str"/>
      <x:c r="O18" s="26" t="str"/>
      <x:c r="P18" s="26" t="str"/>
      <x:c r="Q18" s="26" t="str"/>
      <x:c r="R18" s="26" t="str"/>
      <x:c r="S18" s="27" t="str"/>
      <x:c r="T18" s="26" t="str"/>
      <x:c r="U18" s="26" t="str"/>
      <x:c r="V18" s="25" t="str"/>
      <x:c r="W18" s="25" t="str"/>
      <x:c r="X18" s="26" t="str"/>
      <x:c r="Y18" s="26" t="str"/>
      <x:c r="Z18" s="26" t="str"/>
      <x:c r="AA18" s="26" t="str"/>
    </x:row>
    <x:row r="19">
      <x:c r="A19" s="25" t="str"/>
      <x:c r="B19" s="26" t="str"/>
      <x:c r="C19" s="26" t="str"/>
      <x:c r="D19" s="26" t="str"/>
      <x:c r="E19" s="26" t="str"/>
      <x:c r="F19" s="26" t="str"/>
      <x:c r="G19" s="26" t="str"/>
      <x:c r="H19" s="26" t="str"/>
      <x:c r="I19" s="26" t="str"/>
      <x:c r="J19" s="26" t="str"/>
      <x:c r="K19" s="26" t="str"/>
      <x:c r="L19" s="26" t="str"/>
      <x:c r="M19" s="25" t="str"/>
      <x:c r="N19" s="25" t="str"/>
      <x:c r="O19" s="26" t="str"/>
      <x:c r="P19" s="26" t="str"/>
      <x:c r="Q19" s="26" t="str"/>
      <x:c r="R19" s="26" t="str"/>
      <x:c r="S19" s="27" t="str"/>
      <x:c r="T19" s="26" t="str"/>
      <x:c r="U19" s="26" t="str"/>
      <x:c r="V19" s="25" t="str"/>
      <x:c r="W19" s="25" t="str"/>
      <x:c r="X19" s="26" t="str"/>
      <x:c r="Y19" s="26" t="str"/>
      <x:c r="Z19" s="26" t="str"/>
      <x:c r="AA19" s="26" t="str"/>
    </x:row>
    <x:row r="20">
      <x:c r="A20" s="25" t="str"/>
      <x:c r="B20" s="26" t="str"/>
      <x:c r="C20" s="26" t="str"/>
      <x:c r="D20" s="26" t="str"/>
      <x:c r="E20" s="26" t="str"/>
      <x:c r="F20" s="26" t="str"/>
      <x:c r="G20" s="26" t="str"/>
      <x:c r="H20" s="26" t="str"/>
      <x:c r="I20" s="26" t="str"/>
      <x:c r="J20" s="26" t="str"/>
      <x:c r="K20" s="26" t="str"/>
      <x:c r="L20" s="26" t="str"/>
      <x:c r="M20" s="25" t="str"/>
      <x:c r="N20" s="25" t="str"/>
      <x:c r="O20" s="26" t="str"/>
      <x:c r="P20" s="26" t="str"/>
      <x:c r="Q20" s="26" t="str"/>
      <x:c r="R20" s="26" t="str"/>
      <x:c r="S20" s="27" t="str"/>
      <x:c r="T20" s="26" t="str"/>
      <x:c r="U20" s="26" t="str"/>
      <x:c r="V20" s="25" t="str"/>
      <x:c r="W20" s="25" t="str"/>
      <x:c r="X20" s="26" t="str"/>
      <x:c r="Y20" s="26" t="str"/>
      <x:c r="Z20" s="26" t="str"/>
      <x:c r="AA20" s="26" t="str"/>
    </x:row>
    <x:row r="21">
      <x:c r="A21" s="25" t="str"/>
      <x:c r="B21" s="26" t="str"/>
      <x:c r="C21" s="26" t="str"/>
      <x:c r="D21" s="26" t="str"/>
      <x:c r="E21" s="26" t="str"/>
      <x:c r="F21" s="26" t="str"/>
      <x:c r="G21" s="26" t="str"/>
      <x:c r="H21" s="26" t="str"/>
      <x:c r="I21" s="26" t="str"/>
      <x:c r="J21" s="26" t="str"/>
      <x:c r="K21" s="26" t="str"/>
      <x:c r="L21" s="26" t="str"/>
      <x:c r="M21" s="25" t="str"/>
      <x:c r="N21" s="25" t="str"/>
      <x:c r="O21" s="26" t="str"/>
      <x:c r="P21" s="26" t="str"/>
      <x:c r="Q21" s="26" t="str"/>
      <x:c r="R21" s="26" t="str"/>
      <x:c r="S21" s="27" t="str"/>
      <x:c r="T21" s="26" t="str"/>
      <x:c r="U21" s="26" t="str"/>
      <x:c r="V21" s="25" t="str"/>
      <x:c r="W21" s="25" t="str"/>
      <x:c r="X21" s="26" t="str"/>
      <x:c r="Y21" s="26" t="str"/>
      <x:c r="Z21" s="26" t="str"/>
      <x:c r="AA21" s="26" t="str"/>
    </x:row>
    <x:row r="22">
      <x:c r="A22" s="25" t="str"/>
      <x:c r="B22" s="26" t="str"/>
      <x:c r="C22" s="26" t="str"/>
      <x:c r="D22" s="26" t="str"/>
      <x:c r="E22" s="26" t="str"/>
      <x:c r="F22" s="26" t="str"/>
      <x:c r="G22" s="26" t="str"/>
      <x:c r="H22" s="26" t="str"/>
      <x:c r="I22" s="26" t="str"/>
      <x:c r="J22" s="26" t="str"/>
      <x:c r="K22" s="26" t="str"/>
      <x:c r="L22" s="26" t="str"/>
      <x:c r="M22" s="25" t="str"/>
      <x:c r="N22" s="25" t="str"/>
      <x:c r="O22" s="26" t="str"/>
      <x:c r="P22" s="26" t="str"/>
      <x:c r="Q22" s="26" t="str"/>
      <x:c r="R22" s="26" t="str"/>
      <x:c r="S22" s="27" t="str"/>
      <x:c r="T22" s="26" t="str"/>
      <x:c r="U22" s="26" t="str"/>
      <x:c r="V22" s="25" t="str"/>
      <x:c r="W22" s="25" t="str"/>
      <x:c r="X22" s="26" t="str"/>
      <x:c r="Y22" s="26" t="str"/>
      <x:c r="Z22" s="26" t="str"/>
      <x:c r="AA22" s="26" t="str"/>
    </x:row>
    <x:row r="23">
      <x:c r="A23" s="25" t="str"/>
      <x:c r="B23" s="26" t="str"/>
      <x:c r="C23" s="26" t="str"/>
      <x:c r="D23" s="26" t="str"/>
      <x:c r="E23" s="26" t="str"/>
      <x:c r="F23" s="26" t="str"/>
      <x:c r="G23" s="26" t="str"/>
      <x:c r="H23" s="26" t="str"/>
      <x:c r="I23" s="26" t="str"/>
      <x:c r="J23" s="26" t="str"/>
      <x:c r="K23" s="26" t="str"/>
      <x:c r="L23" s="26" t="str"/>
      <x:c r="M23" s="25" t="str"/>
      <x:c r="N23" s="25" t="str"/>
      <x:c r="O23" s="26" t="str"/>
      <x:c r="P23" s="26" t="str"/>
      <x:c r="Q23" s="26" t="str"/>
      <x:c r="R23" s="26" t="str"/>
      <x:c r="S23" s="27" t="str"/>
      <x:c r="T23" s="26" t="str"/>
      <x:c r="U23" s="26" t="str"/>
      <x:c r="V23" s="25" t="str"/>
      <x:c r="W23" s="25" t="str"/>
      <x:c r="X23" s="26" t="str"/>
      <x:c r="Y23" s="26" t="str"/>
      <x:c r="Z23" s="26" t="str"/>
      <x:c r="AA23" s="26" t="str"/>
    </x:row>
    <x:row r="24">
      <x:c r="A24" s="25" t="str"/>
      <x:c r="B24" s="26" t="str"/>
      <x:c r="C24" s="26" t="str"/>
      <x:c r="D24" s="26" t="str"/>
      <x:c r="E24" s="26" t="str"/>
      <x:c r="F24" s="26" t="str"/>
      <x:c r="G24" s="26" t="str"/>
      <x:c r="H24" s="26" t="str"/>
      <x:c r="I24" s="26" t="str"/>
      <x:c r="J24" s="26" t="str"/>
      <x:c r="K24" s="26" t="str"/>
      <x:c r="L24" s="26" t="str"/>
      <x:c r="M24" s="25" t="str"/>
      <x:c r="N24" s="25" t="str"/>
      <x:c r="O24" s="26" t="str"/>
      <x:c r="P24" s="26" t="str"/>
      <x:c r="Q24" s="26" t="str"/>
      <x:c r="R24" s="26" t="str"/>
      <x:c r="S24" s="27" t="str"/>
      <x:c r="T24" s="26" t="str"/>
      <x:c r="U24" s="26" t="str"/>
      <x:c r="V24" s="25" t="str"/>
      <x:c r="W24" s="25" t="str"/>
      <x:c r="X24" s="26" t="str"/>
      <x:c r="Y24" s="26" t="str"/>
      <x:c r="Z24" s="26" t="str"/>
      <x:c r="AA24" s="26" t="str"/>
    </x:row>
    <x:row r="25">
      <x:c r="A25" s="25" t="str"/>
      <x:c r="B25" s="26" t="str"/>
      <x:c r="C25" s="26" t="str"/>
      <x:c r="D25" s="26" t="str"/>
      <x:c r="E25" s="26" t="str"/>
      <x:c r="F25" s="26" t="str"/>
      <x:c r="G25" s="26" t="str"/>
      <x:c r="H25" s="26" t="str"/>
      <x:c r="I25" s="26" t="str"/>
      <x:c r="J25" s="26" t="str"/>
      <x:c r="K25" s="26" t="str"/>
      <x:c r="L25" s="26" t="str"/>
      <x:c r="M25" s="25" t="str"/>
      <x:c r="N25" s="25" t="str"/>
      <x:c r="O25" s="26" t="str"/>
      <x:c r="P25" s="26" t="str"/>
      <x:c r="Q25" s="26" t="str"/>
      <x:c r="R25" s="26" t="str"/>
      <x:c r="S25" s="27" t="str"/>
      <x:c r="T25" s="26" t="str"/>
      <x:c r="U25" s="26" t="str"/>
      <x:c r="V25" s="25" t="str"/>
      <x:c r="W25" s="25" t="str"/>
      <x:c r="X25" s="26" t="str"/>
      <x:c r="Y25" s="26" t="str"/>
      <x:c r="Z25" s="26" t="str"/>
      <x:c r="AA25" s="26" t="str"/>
    </x:row>
    <x:row r="26">
      <x:c r="A26" s="25" t="str"/>
      <x:c r="B26" s="26" t="str"/>
      <x:c r="C26" s="26" t="str"/>
      <x:c r="D26" s="26" t="str"/>
      <x:c r="E26" s="26" t="str"/>
      <x:c r="F26" s="26" t="str"/>
      <x:c r="G26" s="26" t="str"/>
      <x:c r="H26" s="26" t="str"/>
      <x:c r="I26" s="26" t="str"/>
      <x:c r="J26" s="26" t="str"/>
      <x:c r="K26" s="26" t="str"/>
      <x:c r="L26" s="26" t="str"/>
      <x:c r="M26" s="25" t="str"/>
      <x:c r="N26" s="25" t="str"/>
      <x:c r="O26" s="26" t="str"/>
      <x:c r="P26" s="26" t="str"/>
      <x:c r="Q26" s="26" t="str"/>
      <x:c r="R26" s="26" t="str"/>
      <x:c r="S26" s="27" t="str"/>
      <x:c r="T26" s="26" t="str"/>
      <x:c r="U26" s="26" t="str"/>
      <x:c r="V26" s="25" t="str"/>
      <x:c r="W26" s="25" t="str"/>
      <x:c r="X26" s="26" t="str"/>
      <x:c r="Y26" s="26" t="str"/>
      <x:c r="Z26" s="26" t="str"/>
      <x:c r="AA26" s="26" t="str"/>
    </x:row>
    <x:row r="27">
      <x:c r="A27" s="25" t="str"/>
      <x:c r="B27" s="26" t="str"/>
      <x:c r="C27" s="26" t="str"/>
      <x:c r="D27" s="26" t="str"/>
      <x:c r="E27" s="26" t="str"/>
      <x:c r="F27" s="26" t="str"/>
      <x:c r="G27" s="26" t="str"/>
      <x:c r="H27" s="26" t="str"/>
      <x:c r="I27" s="26" t="str"/>
      <x:c r="J27" s="26" t="str"/>
      <x:c r="K27" s="26" t="str"/>
      <x:c r="L27" s="26" t="str"/>
      <x:c r="M27" s="25" t="str"/>
      <x:c r="N27" s="25" t="str"/>
      <x:c r="O27" s="26" t="str"/>
      <x:c r="P27" s="26" t="str"/>
      <x:c r="Q27" s="26" t="str"/>
      <x:c r="R27" s="26" t="str"/>
      <x:c r="S27" s="27" t="str"/>
      <x:c r="T27" s="26" t="str"/>
      <x:c r="U27" s="26" t="str"/>
      <x:c r="V27" s="25" t="str"/>
      <x:c r="W27" s="25" t="str"/>
      <x:c r="X27" s="26" t="str"/>
      <x:c r="Y27" s="26" t="str"/>
      <x:c r="Z27" s="26" t="str"/>
      <x:c r="AA27" s="26" t="str"/>
    </x:row>
    <x:row r="28">
      <x:c r="A28" s="25" t="str"/>
      <x:c r="B28" s="26" t="str"/>
      <x:c r="C28" s="26" t="str"/>
      <x:c r="D28" s="26" t="str"/>
      <x:c r="E28" s="26" t="str"/>
      <x:c r="F28" s="26" t="str"/>
      <x:c r="G28" s="26" t="str"/>
      <x:c r="H28" s="26" t="str"/>
      <x:c r="I28" s="26" t="str"/>
      <x:c r="J28" s="26" t="str"/>
      <x:c r="K28" s="26" t="str"/>
      <x:c r="L28" s="26" t="str"/>
      <x:c r="M28" s="25" t="str"/>
      <x:c r="N28" s="25" t="str"/>
      <x:c r="O28" s="26" t="str"/>
      <x:c r="P28" s="26" t="str"/>
      <x:c r="Q28" s="26" t="str"/>
      <x:c r="R28" s="26" t="str"/>
      <x:c r="S28" s="27" t="str"/>
      <x:c r="T28" s="26" t="str"/>
      <x:c r="U28" s="26" t="str"/>
      <x:c r="V28" s="25" t="str"/>
      <x:c r="W28" s="25" t="str"/>
      <x:c r="X28" s="26" t="str"/>
      <x:c r="Y28" s="26" t="str"/>
      <x:c r="Z28" s="26" t="str"/>
      <x:c r="AA28" s="26" t="str"/>
    </x:row>
    <x:row r="29">
      <x:c r="A29" s="25" t="str"/>
      <x:c r="B29" s="26" t="str"/>
      <x:c r="C29" s="26" t="str"/>
      <x:c r="D29" s="26" t="str"/>
      <x:c r="E29" s="26" t="str"/>
      <x:c r="F29" s="26" t="str"/>
      <x:c r="G29" s="26" t="str"/>
      <x:c r="H29" s="26" t="str"/>
      <x:c r="I29" s="26" t="str"/>
      <x:c r="J29" s="26" t="str"/>
      <x:c r="K29" s="26" t="str"/>
      <x:c r="L29" s="26" t="str"/>
      <x:c r="M29" s="25" t="str"/>
      <x:c r="N29" s="25" t="str"/>
      <x:c r="O29" s="26" t="str"/>
      <x:c r="P29" s="26" t="str"/>
      <x:c r="Q29" s="26" t="str"/>
      <x:c r="R29" s="26" t="str"/>
      <x:c r="S29" s="27" t="str"/>
      <x:c r="T29" s="26" t="str"/>
      <x:c r="U29" s="26" t="str"/>
      <x:c r="V29" s="25" t="str"/>
      <x:c r="W29" s="25" t="str"/>
      <x:c r="X29" s="26" t="str"/>
      <x:c r="Y29" s="26" t="str"/>
      <x:c r="Z29" s="26" t="str"/>
      <x:c r="AA29" s="26" t="str"/>
    </x:row>
    <x:row r="30">
      <x:c r="A30" s="25" t="str"/>
      <x:c r="B30" s="26" t="str"/>
      <x:c r="C30" s="26" t="str"/>
      <x:c r="D30" s="26" t="str"/>
      <x:c r="E30" s="26" t="str"/>
      <x:c r="F30" s="26" t="str"/>
      <x:c r="G30" s="26" t="str"/>
      <x:c r="H30" s="26" t="str"/>
      <x:c r="I30" s="26" t="str"/>
      <x:c r="J30" s="26" t="str"/>
      <x:c r="K30" s="26" t="str"/>
      <x:c r="L30" s="26" t="str"/>
      <x:c r="M30" s="25" t="str"/>
      <x:c r="N30" s="25" t="str"/>
      <x:c r="O30" s="26" t="str"/>
      <x:c r="P30" s="26" t="str"/>
      <x:c r="Q30" s="26" t="str"/>
      <x:c r="R30" s="26" t="str"/>
      <x:c r="S30" s="27" t="str"/>
      <x:c r="T30" s="26" t="str"/>
      <x:c r="U30" s="26" t="str"/>
      <x:c r="V30" s="25" t="str"/>
      <x:c r="W30" s="25" t="str"/>
      <x:c r="X30" s="26" t="str"/>
      <x:c r="Y30" s="26" t="str"/>
      <x:c r="Z30" s="26" t="str"/>
      <x:c r="AA30" s="26" t="str"/>
    </x:row>
    <x:row r="31">
      <x:c r="A31" s="25" t="str"/>
      <x:c r="B31" s="26" t="str"/>
      <x:c r="C31" s="26" t="str"/>
      <x:c r="D31" s="26" t="str"/>
      <x:c r="E31" s="26" t="str"/>
      <x:c r="F31" s="26" t="str"/>
      <x:c r="G31" s="26" t="str"/>
      <x:c r="H31" s="26" t="str"/>
      <x:c r="I31" s="26" t="str"/>
      <x:c r="J31" s="26" t="str"/>
      <x:c r="K31" s="26" t="str"/>
      <x:c r="L31" s="26" t="str"/>
      <x:c r="M31" s="25" t="str"/>
      <x:c r="N31" s="25" t="str"/>
      <x:c r="O31" s="26" t="str"/>
      <x:c r="P31" s="26" t="str"/>
      <x:c r="Q31" s="26" t="str"/>
      <x:c r="R31" s="26" t="str"/>
      <x:c r="S31" s="27" t="str"/>
      <x:c r="T31" s="26" t="str"/>
      <x:c r="U31" s="26" t="str"/>
      <x:c r="V31" s="25" t="str"/>
      <x:c r="W31" s="25" t="str"/>
      <x:c r="X31" s="26" t="str"/>
      <x:c r="Y31" s="26" t="str"/>
      <x:c r="Z31" s="26" t="str"/>
      <x:c r="AA31" s="26" t="str"/>
    </x:row>
    <x:row r="32">
      <x:c r="A32" s="25" t="str"/>
      <x:c r="B32" s="26" t="str"/>
      <x:c r="C32" s="26" t="str"/>
      <x:c r="D32" s="26" t="str"/>
      <x:c r="E32" s="26" t="str"/>
      <x:c r="F32" s="26" t="str"/>
      <x:c r="G32" s="26" t="str"/>
      <x:c r="H32" s="26" t="str"/>
      <x:c r="I32" s="26" t="str"/>
      <x:c r="J32" s="26" t="str"/>
      <x:c r="K32" s="26" t="str"/>
      <x:c r="L32" s="26" t="str"/>
      <x:c r="M32" s="25" t="str"/>
      <x:c r="N32" s="25" t="str"/>
      <x:c r="O32" s="26" t="str"/>
      <x:c r="P32" s="26" t="str"/>
      <x:c r="Q32" s="26" t="str"/>
      <x:c r="R32" s="26" t="str"/>
      <x:c r="S32" s="27" t="str"/>
      <x:c r="T32" s="26" t="str"/>
      <x:c r="U32" s="26" t="str"/>
      <x:c r="V32" s="25" t="str"/>
      <x:c r="W32" s="25" t="str"/>
      <x:c r="X32" s="26" t="str"/>
      <x:c r="Y32" s="26" t="str"/>
      <x:c r="Z32" s="26" t="str"/>
      <x:c r="AA32" s="26" t="str"/>
    </x:row>
    <x:row r="33">
      <x:c r="A33" s="25" t="str"/>
      <x:c r="B33" s="26" t="str"/>
      <x:c r="C33" s="26" t="str"/>
      <x:c r="D33" s="26" t="str"/>
      <x:c r="E33" s="26" t="str"/>
      <x:c r="F33" s="26" t="str"/>
      <x:c r="G33" s="26" t="str"/>
      <x:c r="H33" s="26" t="str"/>
      <x:c r="I33" s="26" t="str"/>
      <x:c r="J33" s="26" t="str"/>
      <x:c r="K33" s="26" t="str"/>
      <x:c r="L33" s="26" t="str"/>
      <x:c r="M33" s="25" t="str"/>
      <x:c r="N33" s="25" t="str"/>
      <x:c r="O33" s="26" t="str"/>
      <x:c r="P33" s="26" t="str"/>
      <x:c r="Q33" s="26" t="str"/>
      <x:c r="R33" s="26" t="str"/>
      <x:c r="S33" s="27" t="str"/>
      <x:c r="T33" s="26" t="str"/>
      <x:c r="U33" s="26" t="str"/>
      <x:c r="V33" s="25" t="str"/>
      <x:c r="W33" s="25" t="str"/>
      <x:c r="X33" s="26" t="str"/>
      <x:c r="Y33" s="26" t="str"/>
      <x:c r="Z33" s="26" t="str"/>
      <x:c r="AA33" s="26" t="str"/>
    </x:row>
    <x:row r="34">
      <x:c r="A34" s="25" t="str"/>
      <x:c r="B34" s="26" t="str"/>
      <x:c r="C34" s="26" t="str"/>
      <x:c r="D34" s="26" t="str"/>
      <x:c r="E34" s="26" t="str"/>
      <x:c r="F34" s="26" t="str"/>
      <x:c r="G34" s="26" t="str"/>
      <x:c r="H34" s="26" t="str"/>
      <x:c r="I34" s="26" t="str"/>
      <x:c r="J34" s="26" t="str"/>
      <x:c r="K34" s="26" t="str"/>
      <x:c r="L34" s="26" t="str"/>
      <x:c r="M34" s="25" t="str"/>
      <x:c r="N34" s="25" t="str"/>
      <x:c r="O34" s="26" t="str"/>
      <x:c r="P34" s="26" t="str"/>
      <x:c r="Q34" s="26" t="str"/>
      <x:c r="R34" s="26" t="str"/>
      <x:c r="S34" s="27" t="str"/>
      <x:c r="T34" s="26" t="str"/>
      <x:c r="U34" s="26" t="str"/>
      <x:c r="V34" s="25" t="str"/>
      <x:c r="W34" s="25" t="str"/>
      <x:c r="X34" s="26" t="str"/>
      <x:c r="Y34" s="26" t="str"/>
      <x:c r="Z34" s="26" t="str"/>
      <x:c r="AA34" s="26" t="str"/>
    </x:row>
    <x:row r="35">
      <x:c r="A35" s="25" t="str"/>
      <x:c r="B35" s="26" t="str"/>
      <x:c r="C35" s="26" t="str"/>
      <x:c r="D35" s="26" t="str"/>
      <x:c r="E35" s="26" t="str"/>
      <x:c r="F35" s="26" t="str"/>
      <x:c r="G35" s="26" t="str"/>
      <x:c r="H35" s="26" t="str"/>
      <x:c r="I35" s="26" t="str"/>
      <x:c r="J35" s="26" t="str"/>
      <x:c r="K35" s="26" t="str"/>
      <x:c r="L35" s="26" t="str"/>
      <x:c r="M35" s="25" t="str"/>
      <x:c r="N35" s="25" t="str"/>
      <x:c r="O35" s="26" t="str"/>
      <x:c r="P35" s="26" t="str"/>
      <x:c r="Q35" s="26" t="str"/>
      <x:c r="R35" s="26" t="str"/>
      <x:c r="S35" s="27" t="str"/>
      <x:c r="T35" s="26" t="str"/>
      <x:c r="U35" s="26" t="str"/>
      <x:c r="V35" s="25" t="str"/>
      <x:c r="W35" s="25" t="str"/>
      <x:c r="X35" s="26" t="str"/>
      <x:c r="Y35" s="26" t="str"/>
      <x:c r="Z35" s="26" t="str"/>
      <x:c r="AA35" s="26" t="str"/>
    </x:row>
    <x:row r="36">
      <x:c r="A36" s="25" t="str"/>
      <x:c r="B36" s="26" t="str"/>
      <x:c r="C36" s="26" t="str"/>
      <x:c r="D36" s="26" t="str"/>
      <x:c r="E36" s="26" t="str"/>
      <x:c r="F36" s="26" t="str"/>
      <x:c r="G36" s="26" t="str"/>
      <x:c r="H36" s="26" t="str"/>
      <x:c r="I36" s="26" t="str"/>
      <x:c r="J36" s="26" t="str"/>
      <x:c r="K36" s="26" t="str"/>
      <x:c r="L36" s="26" t="str"/>
      <x:c r="M36" s="25" t="str"/>
      <x:c r="N36" s="25" t="str"/>
      <x:c r="O36" s="26" t="str"/>
      <x:c r="P36" s="26" t="str"/>
      <x:c r="Q36" s="26" t="str"/>
      <x:c r="R36" s="26" t="str"/>
      <x:c r="S36" s="27" t="str"/>
      <x:c r="T36" s="26" t="str"/>
      <x:c r="U36" s="26" t="str"/>
      <x:c r="V36" s="25" t="str"/>
      <x:c r="W36" s="25" t="str"/>
      <x:c r="X36" s="26" t="str"/>
      <x:c r="Y36" s="26" t="str"/>
      <x:c r="Z36" s="26" t="str"/>
      <x:c r="AA36" s="26" t="str"/>
    </x:row>
    <x:row r="37">
      <x:c r="A37" s="25" t="str"/>
      <x:c r="B37" s="26" t="str"/>
      <x:c r="C37" s="26" t="str"/>
      <x:c r="D37" s="26" t="str"/>
      <x:c r="E37" s="26" t="str"/>
      <x:c r="F37" s="26" t="str"/>
      <x:c r="G37" s="26" t="str"/>
      <x:c r="H37" s="26" t="str"/>
      <x:c r="I37" s="26" t="str"/>
      <x:c r="J37" s="26" t="str"/>
      <x:c r="K37" s="26" t="str"/>
      <x:c r="L37" s="26" t="str"/>
      <x:c r="M37" s="25" t="str"/>
      <x:c r="N37" s="25" t="str"/>
      <x:c r="O37" s="26" t="str"/>
      <x:c r="P37" s="26" t="str"/>
      <x:c r="Q37" s="26" t="str"/>
      <x:c r="R37" s="26" t="str"/>
      <x:c r="S37" s="27" t="str"/>
      <x:c r="T37" s="26" t="str"/>
      <x:c r="U37" s="26" t="str"/>
      <x:c r="V37" s="25" t="str"/>
      <x:c r="W37" s="25" t="str"/>
      <x:c r="X37" s="26" t="str"/>
      <x:c r="Y37" s="26" t="str"/>
      <x:c r="Z37" s="26" t="str"/>
      <x:c r="AA37" s="26" t="str"/>
    </x:row>
    <x:row r="38">
      <x:c r="A38" s="25" t="str"/>
      <x:c r="B38" s="26" t="str"/>
      <x:c r="C38" s="26" t="str"/>
      <x:c r="D38" s="26" t="str"/>
      <x:c r="E38" s="26" t="str"/>
      <x:c r="F38" s="26" t="str"/>
      <x:c r="G38" s="26" t="str"/>
      <x:c r="H38" s="26" t="str"/>
      <x:c r="I38" s="26" t="str"/>
      <x:c r="J38" s="26" t="str"/>
      <x:c r="K38" s="26" t="str"/>
      <x:c r="L38" s="26" t="str"/>
      <x:c r="M38" s="25" t="str"/>
      <x:c r="N38" s="25" t="str"/>
      <x:c r="O38" s="26" t="str"/>
      <x:c r="P38" s="26" t="str"/>
      <x:c r="Q38" s="26" t="str"/>
      <x:c r="R38" s="26" t="str"/>
      <x:c r="S38" s="27" t="str"/>
      <x:c r="T38" s="26" t="str"/>
      <x:c r="U38" s="26" t="str"/>
      <x:c r="V38" s="25" t="str"/>
      <x:c r="W38" s="25" t="str"/>
      <x:c r="X38" s="26" t="str"/>
      <x:c r="Y38" s="26" t="str"/>
      <x:c r="Z38" s="26" t="str"/>
      <x:c r="AA38" s="26" t="str"/>
    </x:row>
    <x:row r="39">
      <x:c r="A39" s="25" t="str"/>
      <x:c r="B39" s="26" t="str"/>
      <x:c r="C39" s="26" t="str"/>
      <x:c r="D39" s="26" t="str"/>
      <x:c r="E39" s="26" t="str"/>
      <x:c r="F39" s="26" t="str"/>
      <x:c r="G39" s="26" t="str"/>
      <x:c r="H39" s="26" t="str"/>
      <x:c r="I39" s="26" t="str"/>
      <x:c r="J39" s="26" t="str"/>
      <x:c r="K39" s="26" t="str"/>
      <x:c r="L39" s="26" t="str"/>
      <x:c r="M39" s="25" t="str"/>
      <x:c r="N39" s="25" t="str"/>
      <x:c r="O39" s="26" t="str"/>
      <x:c r="P39" s="26" t="str"/>
      <x:c r="Q39" s="26" t="str"/>
      <x:c r="R39" s="26" t="str"/>
      <x:c r="S39" s="27" t="str"/>
      <x:c r="T39" s="26" t="str"/>
      <x:c r="U39" s="26" t="str"/>
      <x:c r="V39" s="25" t="str"/>
      <x:c r="W39" s="25" t="str"/>
      <x:c r="X39" s="26" t="str"/>
      <x:c r="Y39" s="26" t="str"/>
      <x:c r="Z39" s="26" t="str"/>
      <x:c r="AA39" s="26" t="str"/>
    </x:row>
    <x:row r="40">
      <x:c r="A40" s="25" t="str"/>
      <x:c r="B40" s="26" t="str"/>
      <x:c r="C40" s="26" t="str"/>
      <x:c r="D40" s="26" t="str"/>
      <x:c r="E40" s="26" t="str"/>
      <x:c r="F40" s="26" t="str"/>
      <x:c r="G40" s="26" t="str"/>
      <x:c r="H40" s="26" t="str"/>
      <x:c r="I40" s="26" t="str"/>
      <x:c r="J40" s="26" t="str"/>
      <x:c r="K40" s="26" t="str"/>
      <x:c r="L40" s="26" t="str"/>
      <x:c r="M40" s="25" t="str"/>
      <x:c r="N40" s="25" t="str"/>
      <x:c r="O40" s="26" t="str"/>
      <x:c r="P40" s="26" t="str"/>
      <x:c r="Q40" s="26" t="str"/>
      <x:c r="R40" s="26" t="str"/>
      <x:c r="S40" s="27" t="str"/>
      <x:c r="T40" s="26" t="str"/>
      <x:c r="U40" s="26" t="str"/>
      <x:c r="V40" s="25" t="str"/>
      <x:c r="W40" s="25" t="str"/>
      <x:c r="X40" s="26" t="str"/>
      <x:c r="Y40" s="26" t="str"/>
      <x:c r="Z40" s="26" t="str"/>
      <x:c r="AA40" s="26" t="str"/>
    </x:row>
    <x:row r="41">
      <x:c r="A41" s="25" t="str"/>
      <x:c r="B41" s="26" t="str"/>
      <x:c r="C41" s="26" t="str"/>
      <x:c r="D41" s="26" t="str"/>
      <x:c r="E41" s="26" t="str"/>
      <x:c r="F41" s="26" t="str"/>
      <x:c r="G41" s="26" t="str"/>
      <x:c r="H41" s="26" t="str"/>
      <x:c r="I41" s="26" t="str"/>
      <x:c r="J41" s="26" t="str"/>
      <x:c r="K41" s="26" t="str"/>
      <x:c r="L41" s="26" t="str"/>
      <x:c r="M41" s="25" t="str"/>
      <x:c r="N41" s="25" t="str"/>
      <x:c r="O41" s="26" t="str"/>
      <x:c r="P41" s="26" t="str"/>
      <x:c r="Q41" s="26" t="str"/>
      <x:c r="R41" s="26" t="str"/>
      <x:c r="S41" s="27" t="str"/>
      <x:c r="T41" s="26" t="str"/>
      <x:c r="U41" s="26" t="str"/>
      <x:c r="V41" s="25" t="str"/>
      <x:c r="W41" s="25" t="str"/>
      <x:c r="X41" s="26" t="str"/>
      <x:c r="Y41" s="26" t="str"/>
      <x:c r="Z41" s="26" t="str"/>
      <x:c r="AA41" s="26" t="str"/>
    </x:row>
    <x:row r="42">
      <x:c r="A42" s="25" t="str"/>
      <x:c r="B42" s="26" t="str"/>
      <x:c r="C42" s="26" t="str"/>
      <x:c r="D42" s="26" t="str"/>
      <x:c r="E42" s="26" t="str"/>
      <x:c r="F42" s="26" t="str"/>
      <x:c r="G42" s="26" t="str"/>
      <x:c r="H42" s="26" t="str"/>
      <x:c r="I42" s="26" t="str"/>
      <x:c r="J42" s="26" t="str"/>
      <x:c r="K42" s="26" t="str"/>
      <x:c r="L42" s="26" t="str"/>
      <x:c r="M42" s="25" t="str"/>
      <x:c r="N42" s="25" t="str"/>
      <x:c r="O42" s="26" t="str"/>
      <x:c r="P42" s="26" t="str"/>
      <x:c r="Q42" s="26" t="str"/>
      <x:c r="R42" s="26" t="str"/>
      <x:c r="S42" s="27" t="str"/>
      <x:c r="T42" s="26" t="str"/>
      <x:c r="U42" s="26" t="str"/>
      <x:c r="V42" s="25" t="str"/>
      <x:c r="W42" s="25" t="str"/>
      <x:c r="X42" s="26" t="str"/>
      <x:c r="Y42" s="26" t="str"/>
      <x:c r="Z42" s="26" t="str"/>
      <x:c r="AA42" s="26" t="str"/>
    </x:row>
    <x:row r="43">
      <x:c r="A43" s="25" t="str"/>
      <x:c r="B43" s="26" t="str"/>
      <x:c r="C43" s="26" t="str"/>
      <x:c r="D43" s="26" t="str"/>
      <x:c r="E43" s="26" t="str"/>
      <x:c r="F43" s="26" t="str"/>
      <x:c r="G43" s="26" t="str"/>
      <x:c r="H43" s="26" t="str"/>
      <x:c r="I43" s="26" t="str"/>
      <x:c r="J43" s="26" t="str"/>
      <x:c r="K43" s="26" t="str"/>
      <x:c r="L43" s="26" t="str"/>
      <x:c r="M43" s="25" t="str"/>
      <x:c r="N43" s="25" t="str"/>
      <x:c r="O43" s="26" t="str"/>
      <x:c r="P43" s="26" t="str"/>
      <x:c r="Q43" s="26" t="str"/>
      <x:c r="R43" s="26" t="str"/>
      <x:c r="S43" s="27" t="str"/>
      <x:c r="T43" s="26" t="str"/>
      <x:c r="U43" s="26" t="str"/>
      <x:c r="V43" s="25" t="str"/>
      <x:c r="W43" s="25" t="str"/>
      <x:c r="X43" s="26" t="str"/>
      <x:c r="Y43" s="26" t="str"/>
      <x:c r="Z43" s="26" t="str"/>
      <x:c r="AA43" s="26" t="str"/>
    </x:row>
    <x:row r="44">
      <x:c r="A44" s="25" t="str"/>
      <x:c r="B44" s="26" t="str"/>
      <x:c r="C44" s="26" t="str"/>
      <x:c r="D44" s="26" t="str"/>
      <x:c r="E44" s="26" t="str"/>
      <x:c r="F44" s="26" t="str"/>
      <x:c r="G44" s="26" t="str"/>
      <x:c r="H44" s="26" t="str"/>
      <x:c r="I44" s="26" t="str"/>
      <x:c r="J44" s="26" t="str"/>
      <x:c r="K44" s="26" t="str"/>
      <x:c r="L44" s="26" t="str"/>
      <x:c r="M44" s="25" t="str"/>
      <x:c r="N44" s="25" t="str"/>
      <x:c r="O44" s="26" t="str"/>
      <x:c r="P44" s="26" t="str"/>
      <x:c r="Q44" s="26" t="str"/>
      <x:c r="R44" s="26" t="str"/>
      <x:c r="S44" s="27" t="str"/>
      <x:c r="T44" s="26" t="str"/>
      <x:c r="U44" s="26" t="str"/>
      <x:c r="V44" s="25" t="str"/>
      <x:c r="W44" s="25" t="str"/>
      <x:c r="X44" s="26" t="str"/>
      <x:c r="Y44" s="26" t="str"/>
      <x:c r="Z44" s="26" t="str"/>
      <x:c r="AA44" s="26" t="str"/>
    </x:row>
    <x:row r="45">
      <x:c r="A45" s="25" t="str"/>
      <x:c r="B45" s="26" t="str"/>
      <x:c r="C45" s="26" t="str"/>
      <x:c r="D45" s="26" t="str"/>
      <x:c r="E45" s="26" t="str"/>
      <x:c r="F45" s="26" t="str"/>
      <x:c r="G45" s="26" t="str"/>
      <x:c r="H45" s="26" t="str"/>
      <x:c r="I45" s="26" t="str"/>
      <x:c r="J45" s="26" t="str"/>
      <x:c r="K45" s="26" t="str"/>
      <x:c r="L45" s="26" t="str"/>
      <x:c r="M45" s="25" t="str"/>
      <x:c r="N45" s="25" t="str"/>
      <x:c r="O45" s="26" t="str"/>
      <x:c r="P45" s="26" t="str"/>
      <x:c r="Q45" s="26" t="str"/>
      <x:c r="R45" s="26" t="str"/>
      <x:c r="S45" s="27" t="str"/>
      <x:c r="T45" s="26" t="str"/>
      <x:c r="U45" s="26" t="str"/>
      <x:c r="V45" s="25" t="str"/>
      <x:c r="W45" s="25" t="str"/>
      <x:c r="X45" s="26" t="str"/>
      <x:c r="Y45" s="26" t="str"/>
      <x:c r="Z45" s="26" t="str"/>
      <x:c r="AA45" s="26" t="str"/>
    </x:row>
    <x:row r="46">
      <x:c r="A46" s="25" t="str"/>
      <x:c r="B46" s="26" t="str"/>
      <x:c r="C46" s="26" t="str"/>
      <x:c r="D46" s="26" t="str"/>
      <x:c r="E46" s="26" t="str"/>
      <x:c r="F46" s="26" t="str"/>
      <x:c r="G46" s="26" t="str"/>
      <x:c r="H46" s="26" t="str"/>
      <x:c r="I46" s="26" t="str"/>
      <x:c r="J46" s="26" t="str"/>
      <x:c r="K46" s="26" t="str"/>
      <x:c r="L46" s="26" t="str"/>
      <x:c r="M46" s="25" t="str"/>
      <x:c r="N46" s="25" t="str"/>
      <x:c r="O46" s="26" t="str"/>
      <x:c r="P46" s="26" t="str"/>
      <x:c r="Q46" s="26" t="str"/>
      <x:c r="R46" s="26" t="str"/>
      <x:c r="S46" s="27" t="str"/>
      <x:c r="T46" s="26" t="str"/>
      <x:c r="U46" s="26" t="str"/>
      <x:c r="V46" s="25" t="str"/>
      <x:c r="W46" s="25" t="str"/>
      <x:c r="X46" s="26" t="str"/>
      <x:c r="Y46" s="26" t="str"/>
      <x:c r="Z46" s="26" t="str"/>
      <x:c r="AA46" s="26" t="str"/>
    </x:row>
    <x:row r="47">
      <x:c r="A47" s="25" t="str"/>
      <x:c r="B47" s="26" t="str"/>
      <x:c r="C47" s="26" t="str"/>
      <x:c r="D47" s="26" t="str"/>
      <x:c r="E47" s="26" t="str"/>
      <x:c r="F47" s="26" t="str"/>
      <x:c r="G47" s="26" t="str"/>
      <x:c r="H47" s="26" t="str"/>
      <x:c r="I47" s="26" t="str"/>
      <x:c r="J47" s="26" t="str"/>
      <x:c r="K47" s="26" t="str"/>
      <x:c r="L47" s="26" t="str"/>
      <x:c r="M47" s="25" t="str"/>
      <x:c r="N47" s="25" t="str"/>
      <x:c r="O47" s="26" t="str"/>
      <x:c r="P47" s="26" t="str"/>
      <x:c r="Q47" s="26" t="str"/>
      <x:c r="R47" s="26" t="str"/>
      <x:c r="S47" s="27" t="str"/>
      <x:c r="T47" s="26" t="str"/>
      <x:c r="U47" s="26" t="str"/>
      <x:c r="V47" s="25" t="str"/>
      <x:c r="W47" s="25" t="str"/>
      <x:c r="X47" s="26" t="str"/>
      <x:c r="Y47" s="26" t="str"/>
      <x:c r="Z47" s="26" t="str"/>
      <x:c r="AA47" s="26" t="str"/>
    </x:row>
    <x:row r="48">
      <x:c r="A48" s="25" t="str"/>
      <x:c r="B48" s="26" t="str"/>
      <x:c r="C48" s="26" t="str"/>
      <x:c r="D48" s="26" t="str"/>
      <x:c r="E48" s="26" t="str"/>
      <x:c r="F48" s="26" t="str"/>
      <x:c r="G48" s="26" t="str"/>
      <x:c r="H48" s="26" t="str"/>
      <x:c r="I48" s="26" t="str"/>
      <x:c r="J48" s="26" t="str"/>
      <x:c r="K48" s="26" t="str"/>
      <x:c r="L48" s="26" t="str"/>
      <x:c r="M48" s="25" t="str"/>
      <x:c r="N48" s="25" t="str"/>
      <x:c r="O48" s="26" t="str"/>
      <x:c r="P48" s="26" t="str"/>
      <x:c r="Q48" s="26" t="str"/>
      <x:c r="R48" s="26" t="str"/>
      <x:c r="S48" s="27" t="str"/>
      <x:c r="T48" s="26" t="str"/>
      <x:c r="U48" s="26" t="str"/>
      <x:c r="V48" s="25" t="str"/>
      <x:c r="W48" s="25" t="str"/>
      <x:c r="X48" s="26" t="str"/>
      <x:c r="Y48" s="26" t="str"/>
      <x:c r="Z48" s="26" t="str"/>
      <x:c r="AA48" s="26" t="str"/>
    </x:row>
    <x:row r="49">
      <x:c r="A49" s="25" t="str"/>
      <x:c r="B49" s="26" t="str"/>
      <x:c r="C49" s="26" t="str"/>
      <x:c r="D49" s="26" t="str"/>
      <x:c r="E49" s="26" t="str"/>
      <x:c r="F49" s="26" t="str"/>
      <x:c r="G49" s="26" t="str"/>
      <x:c r="H49" s="26" t="str"/>
      <x:c r="I49" s="26" t="str"/>
      <x:c r="J49" s="26" t="str"/>
      <x:c r="K49" s="26" t="str"/>
      <x:c r="L49" s="26" t="str"/>
      <x:c r="M49" s="25" t="str"/>
      <x:c r="N49" s="25" t="str"/>
      <x:c r="O49" s="26" t="str"/>
      <x:c r="P49" s="26" t="str"/>
      <x:c r="Q49" s="26" t="str"/>
      <x:c r="R49" s="26" t="str"/>
      <x:c r="S49" s="27" t="str"/>
      <x:c r="T49" s="26" t="str"/>
      <x:c r="U49" s="26" t="str"/>
      <x:c r="V49" s="25" t="str"/>
      <x:c r="W49" s="25" t="str"/>
      <x:c r="X49" s="26" t="str"/>
      <x:c r="Y49" s="26" t="str"/>
      <x:c r="Z49" s="26" t="str"/>
      <x:c r="AA49" s="26" t="str"/>
    </x:row>
    <x:row r="50">
      <x:c r="A50" s="25" t="str"/>
      <x:c r="B50" s="26" t="str"/>
      <x:c r="C50" s="26" t="str"/>
      <x:c r="D50" s="26" t="str"/>
      <x:c r="E50" s="26" t="str"/>
      <x:c r="F50" s="26" t="str"/>
      <x:c r="G50" s="26" t="str"/>
      <x:c r="H50" s="26" t="str"/>
      <x:c r="I50" s="26" t="str"/>
      <x:c r="J50" s="26" t="str"/>
      <x:c r="K50" s="26" t="str"/>
      <x:c r="L50" s="26" t="str"/>
      <x:c r="M50" s="25" t="str"/>
      <x:c r="N50" s="25" t="str"/>
      <x:c r="O50" s="26" t="str"/>
      <x:c r="P50" s="26" t="str"/>
      <x:c r="Q50" s="26" t="str"/>
      <x:c r="R50" s="26" t="str"/>
      <x:c r="S50" s="27" t="str"/>
      <x:c r="T50" s="26" t="str"/>
      <x:c r="U50" s="26" t="str"/>
      <x:c r="V50" s="25" t="str"/>
      <x:c r="W50" s="25" t="str"/>
      <x:c r="X50" s="26" t="str"/>
      <x:c r="Y50" s="26" t="str"/>
      <x:c r="Z50" s="26" t="str"/>
      <x:c r="AA50" s="26" t="str"/>
    </x:row>
    <x:row r="51">
      <x:c r="A51" s="25" t="str"/>
      <x:c r="B51" s="26" t="str"/>
      <x:c r="C51" s="26" t="str"/>
      <x:c r="D51" s="26" t="str"/>
      <x:c r="E51" s="26" t="str"/>
      <x:c r="F51" s="26" t="str"/>
      <x:c r="G51" s="26" t="str"/>
      <x:c r="H51" s="26" t="str"/>
      <x:c r="I51" s="26" t="str"/>
      <x:c r="J51" s="26" t="str"/>
      <x:c r="K51" s="26" t="str"/>
      <x:c r="L51" s="26" t="str"/>
      <x:c r="M51" s="25" t="str"/>
      <x:c r="N51" s="25" t="str"/>
      <x:c r="O51" s="26" t="str"/>
      <x:c r="P51" s="26" t="str"/>
      <x:c r="Q51" s="26" t="str"/>
      <x:c r="R51" s="26" t="str"/>
      <x:c r="S51" s="27" t="str"/>
      <x:c r="T51" s="26" t="str"/>
      <x:c r="U51" s="26" t="str"/>
      <x:c r="V51" s="25" t="str"/>
      <x:c r="W51" s="25" t="str"/>
      <x:c r="X51" s="26" t="str"/>
      <x:c r="Y51" s="26" t="str"/>
      <x:c r="Z51" s="26" t="str"/>
      <x:c r="AA51" s="26" t="str"/>
    </x:row>
    <x:row r="52">
      <x:c r="A52" s="25" t="str"/>
      <x:c r="B52" s="26" t="str"/>
      <x:c r="C52" s="26" t="str"/>
      <x:c r="D52" s="26" t="str"/>
      <x:c r="E52" s="26" t="str"/>
      <x:c r="F52" s="26" t="str"/>
      <x:c r="G52" s="26" t="str"/>
      <x:c r="H52" s="26" t="str"/>
      <x:c r="I52" s="26" t="str"/>
      <x:c r="J52" s="26" t="str"/>
      <x:c r="K52" s="26" t="str"/>
      <x:c r="L52" s="26" t="str"/>
      <x:c r="M52" s="25" t="str"/>
      <x:c r="N52" s="25" t="str"/>
      <x:c r="O52" s="26" t="str"/>
      <x:c r="P52" s="26" t="str"/>
      <x:c r="Q52" s="26" t="str"/>
      <x:c r="R52" s="26" t="str"/>
      <x:c r="S52" s="27" t="str"/>
      <x:c r="T52" s="26" t="str"/>
      <x:c r="U52" s="26" t="str"/>
      <x:c r="V52" s="25" t="str"/>
      <x:c r="W52" s="25" t="str"/>
      <x:c r="X52" s="26" t="str"/>
      <x:c r="Y52" s="26" t="str"/>
      <x:c r="Z52" s="26" t="str"/>
      <x:c r="AA52" s="26" t="str"/>
    </x:row>
    <x:row r="53">
      <x:c r="A53" s="25" t="str"/>
      <x:c r="B53" s="26" t="str"/>
      <x:c r="C53" s="26" t="str"/>
      <x:c r="D53" s="26" t="str"/>
      <x:c r="E53" s="26" t="str"/>
      <x:c r="F53" s="26" t="str"/>
      <x:c r="G53" s="26" t="str"/>
      <x:c r="H53" s="26" t="str"/>
      <x:c r="I53" s="26" t="str"/>
      <x:c r="J53" s="26" t="str"/>
      <x:c r="K53" s="26" t="str"/>
      <x:c r="L53" s="26" t="str"/>
      <x:c r="M53" s="25" t="str"/>
      <x:c r="N53" s="25" t="str"/>
      <x:c r="O53" s="26" t="str"/>
      <x:c r="P53" s="26" t="str"/>
      <x:c r="Q53" s="26" t="str"/>
      <x:c r="R53" s="26" t="str"/>
      <x:c r="S53" s="27" t="str"/>
      <x:c r="T53" s="26" t="str"/>
      <x:c r="U53" s="26" t="str"/>
      <x:c r="V53" s="25" t="str"/>
      <x:c r="W53" s="25" t="str"/>
      <x:c r="X53" s="26" t="str"/>
      <x:c r="Y53" s="26" t="str"/>
      <x:c r="Z53" s="26" t="str"/>
      <x:c r="AA53" s="26" t="str"/>
    </x:row>
    <x:row r="54">
      <x:c r="A54" s="25" t="str"/>
      <x:c r="B54" s="26" t="str"/>
      <x:c r="C54" s="26" t="str"/>
      <x:c r="D54" s="26" t="str"/>
      <x:c r="E54" s="26" t="str"/>
      <x:c r="F54" s="26" t="str"/>
      <x:c r="G54" s="26" t="str"/>
      <x:c r="H54" s="26" t="str"/>
      <x:c r="I54" s="26" t="str"/>
      <x:c r="J54" s="26" t="str"/>
      <x:c r="K54" s="26" t="str"/>
      <x:c r="L54" s="26" t="str"/>
      <x:c r="M54" s="25" t="str"/>
      <x:c r="N54" s="25" t="str"/>
      <x:c r="O54" s="26" t="str"/>
      <x:c r="P54" s="26" t="str"/>
      <x:c r="Q54" s="26" t="str"/>
      <x:c r="R54" s="26" t="str"/>
      <x:c r="S54" s="27" t="str"/>
      <x:c r="T54" s="26" t="str"/>
      <x:c r="U54" s="26" t="str"/>
      <x:c r="V54" s="25" t="str"/>
      <x:c r="W54" s="25" t="str"/>
      <x:c r="X54" s="26" t="str"/>
      <x:c r="Y54" s="26" t="str"/>
      <x:c r="Z54" s="26" t="str"/>
      <x:c r="AA54" s="26" t="str"/>
    </x:row>
    <x:row r="55">
      <x:c r="A55" s="25" t="str"/>
      <x:c r="B55" s="26" t="str"/>
      <x:c r="C55" s="26" t="str"/>
      <x:c r="D55" s="26" t="str"/>
      <x:c r="E55" s="26" t="str"/>
      <x:c r="F55" s="26" t="str"/>
      <x:c r="G55" s="26" t="str"/>
      <x:c r="H55" s="26" t="str"/>
      <x:c r="I55" s="26" t="str"/>
      <x:c r="J55" s="26" t="str"/>
      <x:c r="K55" s="26" t="str"/>
      <x:c r="L55" s="26" t="str"/>
      <x:c r="M55" s="25" t="str"/>
      <x:c r="N55" s="25" t="str"/>
      <x:c r="O55" s="26" t="str"/>
      <x:c r="P55" s="26" t="str"/>
      <x:c r="Q55" s="26" t="str"/>
      <x:c r="R55" s="26" t="str"/>
      <x:c r="S55" s="27" t="str"/>
      <x:c r="T55" s="26" t="str"/>
      <x:c r="U55" s="26" t="str"/>
      <x:c r="V55" s="25" t="str"/>
      <x:c r="W55" s="25" t="str"/>
      <x:c r="X55" s="26" t="str"/>
      <x:c r="Y55" s="26" t="str"/>
      <x:c r="Z55" s="26" t="str"/>
      <x:c r="AA55" s="26" t="str"/>
    </x:row>
    <x:row r="56">
      <x:c r="A56" s="25" t="str"/>
      <x:c r="B56" s="26" t="str"/>
      <x:c r="C56" s="26" t="str"/>
      <x:c r="D56" s="26" t="str"/>
      <x:c r="E56" s="26" t="str"/>
      <x:c r="F56" s="26" t="str"/>
      <x:c r="G56" s="26" t="str"/>
      <x:c r="H56" s="26" t="str"/>
      <x:c r="I56" s="26" t="str"/>
      <x:c r="J56" s="26" t="str"/>
      <x:c r="K56" s="26" t="str"/>
      <x:c r="L56" s="26" t="str"/>
      <x:c r="M56" s="25" t="str"/>
      <x:c r="N56" s="25" t="str"/>
      <x:c r="O56" s="26" t="str"/>
      <x:c r="P56" s="26" t="str"/>
      <x:c r="Q56" s="26" t="str"/>
      <x:c r="R56" s="26" t="str"/>
      <x:c r="S56" s="27" t="str"/>
      <x:c r="T56" s="26" t="str"/>
      <x:c r="U56" s="26" t="str"/>
      <x:c r="V56" s="25" t="str"/>
      <x:c r="W56" s="25" t="str"/>
      <x:c r="X56" s="26" t="str"/>
      <x:c r="Y56" s="26" t="str"/>
      <x:c r="Z56" s="26" t="str"/>
      <x:c r="AA56" s="26" t="str"/>
    </x:row>
    <x:row r="57">
      <x:c r="A57" s="25" t="str"/>
      <x:c r="B57" s="26" t="str"/>
      <x:c r="C57" s="26" t="str"/>
      <x:c r="D57" s="26" t="str"/>
      <x:c r="E57" s="26" t="str"/>
      <x:c r="F57" s="26" t="str"/>
      <x:c r="G57" s="26" t="str"/>
      <x:c r="H57" s="26" t="str"/>
      <x:c r="I57" s="26" t="str"/>
      <x:c r="J57" s="26" t="str"/>
      <x:c r="K57" s="26" t="str"/>
      <x:c r="L57" s="26" t="str"/>
      <x:c r="M57" s="25" t="str"/>
      <x:c r="N57" s="25" t="str"/>
      <x:c r="O57" s="26" t="str"/>
      <x:c r="P57" s="26" t="str"/>
      <x:c r="Q57" s="26" t="str"/>
      <x:c r="R57" s="26" t="str"/>
      <x:c r="S57" s="27" t="str"/>
      <x:c r="T57" s="26" t="str"/>
      <x:c r="U57" s="26" t="str"/>
      <x:c r="V57" s="25" t="str"/>
      <x:c r="W57" s="25" t="str"/>
      <x:c r="X57" s="26" t="str"/>
      <x:c r="Y57" s="26" t="str"/>
      <x:c r="Z57" s="26" t="str"/>
      <x:c r="AA57" s="26" t="str"/>
    </x:row>
    <x:row r="58">
      <x:c r="A58" s="25" t="str"/>
      <x:c r="B58" s="26" t="str"/>
      <x:c r="C58" s="26" t="str"/>
      <x:c r="D58" s="26" t="str"/>
      <x:c r="E58" s="26" t="str"/>
      <x:c r="F58" s="26" t="str"/>
      <x:c r="G58" s="26" t="str"/>
      <x:c r="H58" s="26" t="str"/>
      <x:c r="I58" s="26" t="str"/>
      <x:c r="J58" s="26" t="str"/>
      <x:c r="K58" s="26" t="str"/>
      <x:c r="L58" s="26" t="str"/>
      <x:c r="M58" s="25" t="str"/>
      <x:c r="N58" s="25" t="str"/>
      <x:c r="O58" s="26" t="str"/>
      <x:c r="P58" s="26" t="str"/>
      <x:c r="Q58" s="26" t="str"/>
      <x:c r="R58" s="26" t="str"/>
      <x:c r="S58" s="27" t="str"/>
      <x:c r="T58" s="26" t="str"/>
      <x:c r="U58" s="26" t="str"/>
      <x:c r="V58" s="25" t="str"/>
      <x:c r="W58" s="25" t="str"/>
      <x:c r="X58" s="26" t="str"/>
      <x:c r="Y58" s="26" t="str"/>
      <x:c r="Z58" s="26" t="str"/>
      <x:c r="AA58" s="26" t="str"/>
    </x:row>
    <x:row r="59">
      <x:c r="A59" s="25" t="str"/>
      <x:c r="B59" s="26" t="str"/>
      <x:c r="C59" s="26" t="str"/>
      <x:c r="D59" s="26" t="str"/>
      <x:c r="E59" s="26" t="str"/>
      <x:c r="F59" s="26" t="str"/>
      <x:c r="G59" s="26" t="str"/>
      <x:c r="H59" s="26" t="str"/>
      <x:c r="I59" s="26" t="str"/>
      <x:c r="J59" s="26" t="str"/>
      <x:c r="K59" s="26" t="str"/>
      <x:c r="L59" s="26" t="str"/>
      <x:c r="M59" s="25" t="str"/>
      <x:c r="N59" s="25" t="str"/>
      <x:c r="O59" s="26" t="str"/>
      <x:c r="P59" s="26" t="str"/>
      <x:c r="Q59" s="26" t="str"/>
      <x:c r="R59" s="26" t="str"/>
      <x:c r="S59" s="27" t="str"/>
      <x:c r="T59" s="26" t="str"/>
      <x:c r="U59" s="26" t="str"/>
      <x:c r="V59" s="25" t="str"/>
      <x:c r="W59" s="25" t="str"/>
      <x:c r="X59" s="26" t="str"/>
      <x:c r="Y59" s="26" t="str"/>
      <x:c r="Z59" s="26" t="str"/>
      <x:c r="AA59" s="26" t="str"/>
    </x:row>
    <x:row r="60">
      <x:c r="A60" s="25" t="str"/>
      <x:c r="B60" s="26" t="str"/>
      <x:c r="C60" s="26" t="str"/>
      <x:c r="D60" s="26" t="str"/>
      <x:c r="E60" s="26" t="str"/>
      <x:c r="F60" s="26" t="str"/>
      <x:c r="G60" s="26" t="str"/>
      <x:c r="H60" s="26" t="str"/>
      <x:c r="I60" s="26" t="str"/>
      <x:c r="J60" s="26" t="str"/>
      <x:c r="K60" s="26" t="str"/>
      <x:c r="L60" s="26" t="str"/>
      <x:c r="M60" s="25" t="str"/>
      <x:c r="N60" s="25" t="str"/>
      <x:c r="O60" s="26" t="str"/>
      <x:c r="P60" s="26" t="str"/>
      <x:c r="Q60" s="26" t="str"/>
      <x:c r="R60" s="26" t="str"/>
      <x:c r="S60" s="27" t="str"/>
      <x:c r="T60" s="26" t="str"/>
      <x:c r="U60" s="26" t="str"/>
      <x:c r="V60" s="25" t="str"/>
      <x:c r="W60" s="25" t="str"/>
      <x:c r="X60" s="26" t="str"/>
      <x:c r="Y60" s="26" t="str"/>
      <x:c r="Z60" s="26" t="str"/>
      <x:c r="AA60" s="26" t="str"/>
    </x:row>
    <x:row r="61">
      <x:c r="A61" s="25" t="str"/>
      <x:c r="B61" s="26" t="str"/>
      <x:c r="C61" s="26" t="str"/>
      <x:c r="D61" s="26" t="str"/>
      <x:c r="E61" s="26" t="str"/>
      <x:c r="F61" s="26" t="str"/>
      <x:c r="G61" s="26" t="str"/>
      <x:c r="H61" s="26" t="str"/>
      <x:c r="I61" s="26" t="str"/>
      <x:c r="J61" s="26" t="str"/>
      <x:c r="K61" s="26" t="str"/>
      <x:c r="L61" s="26" t="str"/>
      <x:c r="M61" s="25" t="str"/>
      <x:c r="N61" s="25" t="str"/>
      <x:c r="O61" s="26" t="str"/>
      <x:c r="P61" s="26" t="str"/>
      <x:c r="Q61" s="26" t="str"/>
      <x:c r="R61" s="26" t="str"/>
      <x:c r="S61" s="27" t="str"/>
      <x:c r="T61" s="26" t="str"/>
      <x:c r="U61" s="26" t="str"/>
      <x:c r="V61" s="25" t="str"/>
      <x:c r="W61" s="25" t="str"/>
      <x:c r="X61" s="26" t="str"/>
      <x:c r="Y61" s="26" t="str"/>
      <x:c r="Z61" s="26" t="str"/>
      <x:c r="AA61" s="26" t="str"/>
    </x:row>
    <x:row r="62">
      <x:c r="A62" s="25" t="str"/>
      <x:c r="B62" s="26" t="str"/>
      <x:c r="C62" s="26" t="str"/>
      <x:c r="D62" s="26" t="str"/>
      <x:c r="E62" s="26" t="str"/>
      <x:c r="F62" s="26" t="str"/>
      <x:c r="G62" s="26" t="str"/>
      <x:c r="H62" s="26" t="str"/>
      <x:c r="I62" s="26" t="str"/>
      <x:c r="J62" s="26" t="str"/>
      <x:c r="K62" s="26" t="str"/>
      <x:c r="L62" s="26" t="str"/>
      <x:c r="M62" s="25" t="str"/>
      <x:c r="N62" s="25" t="str"/>
      <x:c r="O62" s="26" t="str"/>
      <x:c r="P62" s="26" t="str"/>
      <x:c r="Q62" s="26" t="str"/>
      <x:c r="R62" s="26" t="str"/>
      <x:c r="S62" s="27" t="str"/>
      <x:c r="T62" s="26" t="str"/>
      <x:c r="U62" s="26" t="str"/>
      <x:c r="V62" s="25" t="str"/>
      <x:c r="W62" s="25" t="str"/>
      <x:c r="X62" s="26" t="str"/>
      <x:c r="Y62" s="26" t="str"/>
      <x:c r="Z62" s="26" t="str"/>
      <x:c r="AA62" s="26" t="str"/>
    </x:row>
    <x:row r="63">
      <x:c r="A63" s="25" t="str"/>
      <x:c r="B63" s="26" t="str"/>
      <x:c r="C63" s="26" t="str"/>
      <x:c r="D63" s="26" t="str"/>
      <x:c r="E63" s="26" t="str"/>
      <x:c r="F63" s="26" t="str"/>
      <x:c r="G63" s="26" t="str"/>
      <x:c r="H63" s="26" t="str"/>
      <x:c r="I63" s="26" t="str"/>
      <x:c r="J63" s="26" t="str"/>
      <x:c r="K63" s="26" t="str"/>
      <x:c r="L63" s="26" t="str"/>
      <x:c r="M63" s="25" t="str"/>
      <x:c r="N63" s="25" t="str"/>
      <x:c r="O63" s="26" t="str"/>
      <x:c r="P63" s="26" t="str"/>
      <x:c r="Q63" s="26" t="str"/>
      <x:c r="R63" s="26" t="str"/>
      <x:c r="S63" s="27" t="str"/>
      <x:c r="T63" s="26" t="str"/>
      <x:c r="U63" s="26" t="str"/>
      <x:c r="V63" s="25" t="str"/>
      <x:c r="W63" s="25" t="str"/>
      <x:c r="X63" s="26" t="str"/>
      <x:c r="Y63" s="26" t="str"/>
      <x:c r="Z63" s="26" t="str"/>
      <x:c r="AA63" s="26" t="str"/>
    </x:row>
    <x:row r="64">
      <x:c r="A64" s="25" t="str"/>
      <x:c r="B64" s="26" t="str"/>
      <x:c r="C64" s="26" t="str"/>
      <x:c r="D64" s="26" t="str"/>
      <x:c r="E64" s="26" t="str"/>
      <x:c r="F64" s="26" t="str"/>
      <x:c r="G64" s="26" t="str"/>
      <x:c r="H64" s="26" t="str"/>
      <x:c r="I64" s="26" t="str"/>
      <x:c r="J64" s="26" t="str"/>
      <x:c r="K64" s="26" t="str"/>
      <x:c r="L64" s="26" t="str"/>
      <x:c r="M64" s="25" t="str"/>
      <x:c r="N64" s="25" t="str"/>
      <x:c r="O64" s="26" t="str"/>
      <x:c r="P64" s="26" t="str"/>
      <x:c r="Q64" s="26" t="str"/>
      <x:c r="R64" s="26" t="str"/>
      <x:c r="S64" s="27" t="str"/>
      <x:c r="T64" s="26" t="str"/>
      <x:c r="U64" s="26" t="str"/>
      <x:c r="V64" s="25" t="str"/>
      <x:c r="W64" s="25" t="str"/>
      <x:c r="X64" s="26" t="str"/>
      <x:c r="Y64" s="26" t="str"/>
      <x:c r="Z64" s="26" t="str"/>
      <x:c r="AA64" s="26" t="str"/>
    </x:row>
    <x:row r="65">
      <x:c r="A65" s="25" t="str"/>
      <x:c r="B65" s="26" t="str"/>
      <x:c r="C65" s="26" t="str"/>
      <x:c r="D65" s="26" t="str"/>
      <x:c r="E65" s="26" t="str"/>
      <x:c r="F65" s="26" t="str"/>
      <x:c r="G65" s="26" t="str"/>
      <x:c r="H65" s="26" t="str"/>
      <x:c r="I65" s="26" t="str"/>
      <x:c r="J65" s="26" t="str"/>
      <x:c r="K65" s="26" t="str"/>
      <x:c r="L65" s="26" t="str"/>
      <x:c r="M65" s="25" t="str"/>
      <x:c r="N65" s="25" t="str"/>
      <x:c r="O65" s="26" t="str"/>
      <x:c r="P65" s="26" t="str"/>
      <x:c r="Q65" s="26" t="str"/>
      <x:c r="R65" s="26" t="str"/>
      <x:c r="S65" s="27" t="str"/>
      <x:c r="T65" s="26" t="str"/>
      <x:c r="U65" s="26" t="str"/>
      <x:c r="V65" s="25" t="str"/>
      <x:c r="W65" s="25" t="str"/>
      <x:c r="X65" s="26" t="str"/>
      <x:c r="Y65" s="26" t="str"/>
      <x:c r="Z65" s="26" t="str"/>
      <x:c r="AA65" s="26" t="str"/>
    </x:row>
    <x:row r="66">
      <x:c r="A66" s="25" t="str"/>
      <x:c r="B66" s="26" t="str"/>
      <x:c r="C66" s="26" t="str"/>
      <x:c r="D66" s="26" t="str"/>
      <x:c r="E66" s="26" t="str"/>
      <x:c r="F66" s="26" t="str"/>
      <x:c r="G66" s="26" t="str"/>
      <x:c r="H66" s="26" t="str"/>
      <x:c r="I66" s="26" t="str"/>
      <x:c r="J66" s="26" t="str"/>
      <x:c r="K66" s="26" t="str"/>
      <x:c r="L66" s="26" t="str"/>
      <x:c r="M66" s="25" t="str"/>
      <x:c r="N66" s="25" t="str"/>
      <x:c r="O66" s="26" t="str"/>
      <x:c r="P66" s="26" t="str"/>
      <x:c r="Q66" s="26" t="str"/>
      <x:c r="R66" s="26" t="str"/>
      <x:c r="S66" s="27" t="str"/>
      <x:c r="T66" s="26" t="str"/>
      <x:c r="U66" s="26" t="str"/>
      <x:c r="V66" s="25" t="str"/>
      <x:c r="W66" s="25" t="str"/>
      <x:c r="X66" s="26" t="str"/>
      <x:c r="Y66" s="26" t="str"/>
      <x:c r="Z66" s="26" t="str"/>
      <x:c r="AA66" s="26" t="str"/>
    </x:row>
    <x:row r="67">
      <x:c r="A67" s="25" t="str"/>
      <x:c r="B67" s="26" t="str"/>
      <x:c r="C67" s="26" t="str"/>
      <x:c r="D67" s="26" t="str"/>
      <x:c r="E67" s="26" t="str"/>
      <x:c r="F67" s="26" t="str"/>
      <x:c r="G67" s="26" t="str"/>
      <x:c r="H67" s="26" t="str"/>
      <x:c r="I67" s="26" t="str"/>
      <x:c r="J67" s="26" t="str"/>
      <x:c r="K67" s="26" t="str"/>
      <x:c r="L67" s="26" t="str"/>
      <x:c r="M67" s="25" t="str"/>
      <x:c r="N67" s="25" t="str"/>
      <x:c r="O67" s="26" t="str"/>
      <x:c r="P67" s="26" t="str"/>
      <x:c r="Q67" s="26" t="str"/>
      <x:c r="R67" s="26" t="str"/>
      <x:c r="S67" s="27" t="str"/>
      <x:c r="T67" s="26" t="str"/>
      <x:c r="U67" s="26" t="str"/>
      <x:c r="V67" s="25" t="str"/>
      <x:c r="W67" s="25" t="str"/>
      <x:c r="X67" s="26" t="str"/>
      <x:c r="Y67" s="26" t="str"/>
      <x:c r="Z67" s="26" t="str"/>
      <x:c r="AA67" s="26" t="str"/>
    </x:row>
    <x:row r="68">
      <x:c r="A68" s="25" t="str"/>
      <x:c r="B68" s="26" t="str"/>
      <x:c r="C68" s="26" t="str"/>
      <x:c r="D68" s="26" t="str"/>
      <x:c r="E68" s="26" t="str"/>
      <x:c r="F68" s="26" t="str"/>
      <x:c r="G68" s="26" t="str"/>
      <x:c r="H68" s="26" t="str"/>
      <x:c r="I68" s="26" t="str"/>
      <x:c r="J68" s="26" t="str"/>
      <x:c r="K68" s="26" t="str"/>
      <x:c r="L68" s="26" t="str"/>
      <x:c r="M68" s="25" t="str"/>
      <x:c r="N68" s="25" t="str"/>
      <x:c r="O68" s="26" t="str"/>
      <x:c r="P68" s="26" t="str"/>
      <x:c r="Q68" s="26" t="str"/>
      <x:c r="R68" s="26" t="str"/>
      <x:c r="S68" s="27" t="str"/>
      <x:c r="T68" s="26" t="str"/>
      <x:c r="U68" s="26" t="str"/>
      <x:c r="V68" s="25" t="str"/>
      <x:c r="W68" s="25" t="str"/>
      <x:c r="X68" s="26" t="str"/>
      <x:c r="Y68" s="26" t="str"/>
      <x:c r="Z68" s="26" t="str"/>
      <x:c r="AA68" s="26" t="str"/>
    </x:row>
    <x:row r="69">
      <x:c r="A69" s="25" t="str"/>
      <x:c r="B69" s="26" t="str"/>
      <x:c r="C69" s="26" t="str"/>
      <x:c r="D69" s="26" t="str"/>
      <x:c r="E69" s="26" t="str"/>
      <x:c r="F69" s="26" t="str"/>
      <x:c r="G69" s="26" t="str"/>
      <x:c r="H69" s="26" t="str"/>
      <x:c r="I69" s="26" t="str"/>
      <x:c r="J69" s="26" t="str"/>
      <x:c r="K69" s="26" t="str"/>
      <x:c r="L69" s="26" t="str"/>
      <x:c r="M69" s="25" t="str"/>
      <x:c r="N69" s="25" t="str"/>
      <x:c r="O69" s="26" t="str"/>
      <x:c r="P69" s="26" t="str"/>
      <x:c r="Q69" s="26" t="str"/>
      <x:c r="R69" s="26" t="str"/>
      <x:c r="S69" s="27" t="str"/>
      <x:c r="T69" s="26" t="str"/>
      <x:c r="U69" s="26" t="str"/>
      <x:c r="V69" s="25" t="str"/>
      <x:c r="W69" s="25" t="str"/>
      <x:c r="X69" s="26" t="str"/>
      <x:c r="Y69" s="26" t="str"/>
      <x:c r="Z69" s="26" t="str"/>
      <x:c r="AA69" s="26" t="str"/>
    </x:row>
    <x:row r="70">
      <x:c r="A70" s="25" t="str"/>
      <x:c r="B70" s="26" t="str"/>
      <x:c r="C70" s="26" t="str"/>
      <x:c r="D70" s="26" t="str"/>
      <x:c r="E70" s="26" t="str"/>
      <x:c r="F70" s="26" t="str"/>
      <x:c r="G70" s="26" t="str"/>
      <x:c r="H70" s="26" t="str"/>
      <x:c r="I70" s="26" t="str"/>
      <x:c r="J70" s="26" t="str"/>
      <x:c r="K70" s="26" t="str"/>
      <x:c r="L70" s="26" t="str"/>
      <x:c r="M70" s="25" t="str"/>
      <x:c r="N70" s="25" t="str"/>
      <x:c r="O70" s="26" t="str"/>
      <x:c r="P70" s="26" t="str"/>
      <x:c r="Q70" s="26" t="str"/>
      <x:c r="R70" s="26" t="str"/>
      <x:c r="S70" s="27" t="str"/>
      <x:c r="T70" s="26" t="str"/>
      <x:c r="U70" s="26" t="str"/>
      <x:c r="V70" s="25" t="str"/>
      <x:c r="W70" s="25" t="str"/>
      <x:c r="X70" s="26" t="str"/>
      <x:c r="Y70" s="26" t="str"/>
      <x:c r="Z70" s="26" t="str"/>
      <x:c r="AA70" s="26" t="str"/>
    </x:row>
    <x:row r="71">
      <x:c r="A71" s="25" t="str"/>
      <x:c r="B71" s="26" t="str"/>
      <x:c r="C71" s="26" t="str"/>
      <x:c r="D71" s="26" t="str"/>
      <x:c r="E71" s="26" t="str"/>
      <x:c r="F71" s="26" t="str"/>
      <x:c r="G71" s="26" t="str"/>
      <x:c r="H71" s="26" t="str"/>
      <x:c r="I71" s="26" t="str"/>
      <x:c r="J71" s="26" t="str"/>
      <x:c r="K71" s="26" t="str"/>
      <x:c r="L71" s="26" t="str"/>
      <x:c r="M71" s="25" t="str"/>
      <x:c r="N71" s="25" t="str"/>
      <x:c r="O71" s="26" t="str"/>
      <x:c r="P71" s="26" t="str"/>
      <x:c r="Q71" s="26" t="str"/>
      <x:c r="R71" s="26" t="str"/>
      <x:c r="S71" s="27" t="str"/>
      <x:c r="T71" s="26" t="str"/>
      <x:c r="U71" s="26" t="str"/>
      <x:c r="V71" s="25" t="str"/>
      <x:c r="W71" s="25" t="str"/>
      <x:c r="X71" s="26" t="str"/>
      <x:c r="Y71" s="26" t="str"/>
      <x:c r="Z71" s="26" t="str"/>
      <x:c r="AA71" s="26" t="str"/>
    </x:row>
    <x:row r="72">
      <x:c r="A72" s="25" t="str"/>
      <x:c r="B72" s="26" t="str"/>
      <x:c r="C72" s="26" t="str"/>
      <x:c r="D72" s="26" t="str"/>
      <x:c r="E72" s="26" t="str"/>
      <x:c r="F72" s="26" t="str"/>
      <x:c r="G72" s="26" t="str"/>
      <x:c r="H72" s="26" t="str"/>
      <x:c r="I72" s="26" t="str"/>
      <x:c r="J72" s="26" t="str"/>
      <x:c r="K72" s="26" t="str"/>
      <x:c r="L72" s="26" t="str"/>
      <x:c r="M72" s="25" t="str"/>
      <x:c r="N72" s="25" t="str"/>
      <x:c r="O72" s="26" t="str"/>
      <x:c r="P72" s="26" t="str"/>
      <x:c r="Q72" s="26" t="str"/>
      <x:c r="R72" s="26" t="str"/>
      <x:c r="S72" s="27" t="str"/>
      <x:c r="T72" s="26" t="str"/>
      <x:c r="U72" s="26" t="str"/>
      <x:c r="V72" s="25" t="str"/>
      <x:c r="W72" s="25" t="str"/>
      <x:c r="X72" s="26" t="str"/>
      <x:c r="Y72" s="26" t="str"/>
      <x:c r="Z72" s="26" t="str"/>
      <x:c r="AA72" s="26" t="str"/>
    </x:row>
    <x:row r="73">
      <x:c r="A73" s="25" t="str"/>
      <x:c r="B73" s="26" t="str"/>
      <x:c r="C73" s="26" t="str"/>
      <x:c r="D73" s="26" t="str"/>
      <x:c r="E73" s="26" t="str"/>
      <x:c r="F73" s="26" t="str"/>
      <x:c r="G73" s="26" t="str"/>
      <x:c r="H73" s="26" t="str"/>
      <x:c r="I73" s="26" t="str"/>
      <x:c r="J73" s="26" t="str"/>
      <x:c r="K73" s="26" t="str"/>
      <x:c r="L73" s="26" t="str"/>
      <x:c r="M73" s="25" t="str"/>
      <x:c r="N73" s="25" t="str"/>
      <x:c r="O73" s="26" t="str"/>
      <x:c r="P73" s="26" t="str"/>
      <x:c r="Q73" s="26" t="str"/>
      <x:c r="R73" s="26" t="str"/>
      <x:c r="S73" s="27" t="str"/>
      <x:c r="T73" s="26" t="str"/>
      <x:c r="U73" s="26" t="str"/>
      <x:c r="V73" s="25" t="str"/>
      <x:c r="W73" s="25" t="str"/>
      <x:c r="X73" s="26" t="str"/>
      <x:c r="Y73" s="26" t="str"/>
      <x:c r="Z73" s="26" t="str"/>
      <x:c r="AA73" s="26" t="str"/>
    </x:row>
    <x:row r="74">
      <x:c r="A74" s="25" t="str"/>
      <x:c r="B74" s="26" t="str"/>
      <x:c r="C74" s="26" t="str"/>
      <x:c r="D74" s="26" t="str"/>
      <x:c r="E74" s="26" t="str"/>
      <x:c r="F74" s="26" t="str"/>
      <x:c r="G74" s="26" t="str"/>
      <x:c r="H74" s="26" t="str"/>
      <x:c r="I74" s="26" t="str"/>
      <x:c r="J74" s="26" t="str"/>
      <x:c r="K74" s="26" t="str"/>
      <x:c r="L74" s="26" t="str"/>
      <x:c r="M74" s="25" t="str"/>
      <x:c r="N74" s="25" t="str"/>
      <x:c r="O74" s="26" t="str"/>
      <x:c r="P74" s="26" t="str"/>
      <x:c r="Q74" s="26" t="str"/>
      <x:c r="R74" s="26" t="str"/>
      <x:c r="S74" s="27" t="str"/>
      <x:c r="T74" s="26" t="str"/>
      <x:c r="U74" s="26" t="str"/>
      <x:c r="V74" s="25" t="str"/>
      <x:c r="W74" s="25" t="str"/>
      <x:c r="X74" s="26" t="str"/>
      <x:c r="Y74" s="26" t="str"/>
      <x:c r="Z74" s="26" t="str"/>
      <x:c r="AA74" s="26" t="str"/>
    </x:row>
    <x:row r="75">
      <x:c r="A75" s="25" t="str"/>
      <x:c r="B75" s="26" t="str"/>
      <x:c r="C75" s="26" t="str"/>
      <x:c r="D75" s="26" t="str"/>
      <x:c r="E75" s="26" t="str"/>
      <x:c r="F75" s="26" t="str"/>
      <x:c r="G75" s="26" t="str"/>
      <x:c r="H75" s="26" t="str"/>
      <x:c r="I75" s="26" t="str"/>
      <x:c r="J75" s="26" t="str"/>
      <x:c r="K75" s="26" t="str"/>
      <x:c r="L75" s="26" t="str"/>
      <x:c r="M75" s="25" t="str"/>
      <x:c r="N75" s="25" t="str"/>
      <x:c r="O75" s="26" t="str"/>
      <x:c r="P75" s="26" t="str"/>
      <x:c r="Q75" s="26" t="str"/>
      <x:c r="R75" s="26" t="str"/>
      <x:c r="S75" s="27" t="str"/>
      <x:c r="T75" s="26" t="str"/>
      <x:c r="U75" s="26" t="str"/>
      <x:c r="V75" s="25" t="str"/>
      <x:c r="W75" s="25" t="str"/>
      <x:c r="X75" s="26" t="str"/>
      <x:c r="Y75" s="26" t="str"/>
      <x:c r="Z75" s="26" t="str"/>
      <x:c r="AA75" s="26" t="str"/>
    </x:row>
    <x:row r="76">
      <x:c r="A76" s="25" t="str"/>
      <x:c r="B76" s="26" t="str"/>
      <x:c r="C76" s="26" t="str"/>
      <x:c r="D76" s="26" t="str"/>
      <x:c r="E76" s="26" t="str"/>
      <x:c r="F76" s="26" t="str"/>
      <x:c r="G76" s="26" t="str"/>
      <x:c r="H76" s="26" t="str"/>
      <x:c r="I76" s="26" t="str"/>
      <x:c r="J76" s="26" t="str"/>
      <x:c r="K76" s="26" t="str"/>
      <x:c r="L76" s="26" t="str"/>
      <x:c r="M76" s="25" t="str"/>
      <x:c r="N76" s="25" t="str"/>
      <x:c r="O76" s="26" t="str"/>
      <x:c r="P76" s="26" t="str"/>
      <x:c r="Q76" s="26" t="str"/>
      <x:c r="R76" s="26" t="str"/>
      <x:c r="S76" s="27" t="str"/>
      <x:c r="T76" s="26" t="str"/>
      <x:c r="U76" s="26" t="str"/>
      <x:c r="V76" s="25" t="str"/>
      <x:c r="W76" s="25" t="str"/>
      <x:c r="X76" s="26" t="str"/>
      <x:c r="Y76" s="26" t="str"/>
      <x:c r="Z76" s="26" t="str"/>
      <x:c r="AA76" s="26" t="str"/>
    </x:row>
    <x:row r="77">
      <x:c r="A77" s="25" t="str"/>
      <x:c r="B77" s="26" t="str"/>
      <x:c r="C77" s="26" t="str"/>
      <x:c r="D77" s="26" t="str"/>
      <x:c r="E77" s="26" t="str"/>
      <x:c r="F77" s="26" t="str"/>
      <x:c r="G77" s="26" t="str"/>
      <x:c r="H77" s="26" t="str"/>
      <x:c r="I77" s="26" t="str"/>
      <x:c r="J77" s="26" t="str"/>
      <x:c r="K77" s="26" t="str"/>
      <x:c r="L77" s="26" t="str"/>
      <x:c r="M77" s="25" t="str"/>
      <x:c r="N77" s="25" t="str"/>
      <x:c r="O77" s="26" t="str"/>
      <x:c r="P77" s="26" t="str"/>
      <x:c r="Q77" s="26" t="str"/>
      <x:c r="R77" s="26" t="str"/>
      <x:c r="S77" s="27" t="str"/>
      <x:c r="T77" s="26" t="str"/>
      <x:c r="U77" s="26" t="str"/>
      <x:c r="V77" s="25" t="str"/>
      <x:c r="W77" s="25" t="str"/>
      <x:c r="X77" s="26" t="str"/>
      <x:c r="Y77" s="26" t="str"/>
      <x:c r="Z77" s="26" t="str"/>
      <x:c r="AA77" s="26" t="str"/>
    </x:row>
    <x:row r="78">
      <x:c r="A78" s="25" t="str"/>
      <x:c r="B78" s="26" t="str"/>
      <x:c r="C78" s="26" t="str"/>
      <x:c r="D78" s="26" t="str"/>
      <x:c r="E78" s="26" t="str"/>
      <x:c r="F78" s="26" t="str"/>
      <x:c r="G78" s="26" t="str"/>
      <x:c r="H78" s="26" t="str"/>
      <x:c r="I78" s="26" t="str"/>
      <x:c r="J78" s="26" t="str"/>
      <x:c r="K78" s="26" t="str"/>
      <x:c r="L78" s="26" t="str"/>
      <x:c r="M78" s="25" t="str"/>
      <x:c r="N78" s="25" t="str"/>
      <x:c r="O78" s="26" t="str"/>
      <x:c r="P78" s="26" t="str"/>
      <x:c r="Q78" s="26" t="str"/>
      <x:c r="R78" s="26" t="str"/>
      <x:c r="S78" s="27" t="str"/>
      <x:c r="T78" s="26" t="str"/>
      <x:c r="U78" s="26" t="str"/>
      <x:c r="V78" s="25" t="str"/>
      <x:c r="W78" s="25" t="str"/>
      <x:c r="X78" s="26" t="str"/>
      <x:c r="Y78" s="26" t="str"/>
      <x:c r="Z78" s="26" t="str"/>
      <x:c r="AA78" s="26" t="str"/>
    </x:row>
    <x:row r="79">
      <x:c r="A79" s="25" t="str"/>
      <x:c r="B79" s="26" t="str"/>
      <x:c r="C79" s="26" t="str"/>
      <x:c r="D79" s="26" t="str"/>
      <x:c r="E79" s="26" t="str"/>
      <x:c r="F79" s="26" t="str"/>
      <x:c r="G79" s="26" t="str"/>
      <x:c r="H79" s="26" t="str"/>
      <x:c r="I79" s="26" t="str"/>
      <x:c r="J79" s="26" t="str"/>
      <x:c r="K79" s="26" t="str"/>
      <x:c r="L79" s="26" t="str"/>
      <x:c r="M79" s="25" t="str"/>
      <x:c r="N79" s="25" t="str"/>
      <x:c r="O79" s="26" t="str"/>
      <x:c r="P79" s="26" t="str"/>
      <x:c r="Q79" s="26" t="str"/>
      <x:c r="R79" s="26" t="str"/>
      <x:c r="S79" s="27" t="str"/>
      <x:c r="T79" s="26" t="str"/>
      <x:c r="U79" s="26" t="str"/>
      <x:c r="V79" s="25" t="str"/>
      <x:c r="W79" s="25" t="str"/>
      <x:c r="X79" s="26" t="str"/>
      <x:c r="Y79" s="26" t="str"/>
      <x:c r="Z79" s="26" t="str"/>
      <x:c r="AA79" s="26" t="str"/>
    </x:row>
    <x:row r="80">
      <x:c r="A80" s="25" t="str"/>
      <x:c r="B80" s="26" t="str"/>
      <x:c r="C80" s="26" t="str"/>
      <x:c r="D80" s="26" t="str"/>
      <x:c r="E80" s="26" t="str"/>
      <x:c r="F80" s="26" t="str"/>
      <x:c r="G80" s="26" t="str"/>
      <x:c r="H80" s="26" t="str"/>
      <x:c r="I80" s="26" t="str"/>
      <x:c r="J80" s="26" t="str"/>
      <x:c r="K80" s="26" t="str"/>
      <x:c r="L80" s="26" t="str"/>
      <x:c r="M80" s="25" t="str"/>
      <x:c r="N80" s="25" t="str"/>
      <x:c r="O80" s="26" t="str"/>
      <x:c r="P80" s="26" t="str"/>
      <x:c r="Q80" s="26" t="str"/>
      <x:c r="R80" s="26" t="str"/>
      <x:c r="S80" s="27" t="str"/>
      <x:c r="T80" s="26" t="str"/>
      <x:c r="U80" s="26" t="str"/>
      <x:c r="V80" s="25" t="str"/>
      <x:c r="W80" s="25" t="str"/>
      <x:c r="X80" s="26" t="str"/>
      <x:c r="Y80" s="26" t="str"/>
      <x:c r="Z80" s="26" t="str"/>
      <x:c r="AA80" s="26" t="str"/>
    </x:row>
    <x:row r="81">
      <x:c r="A81" s="25" t="str"/>
      <x:c r="B81" s="26" t="str"/>
      <x:c r="C81" s="26" t="str"/>
      <x:c r="D81" s="26" t="str"/>
      <x:c r="E81" s="26" t="str"/>
      <x:c r="F81" s="26" t="str"/>
      <x:c r="G81" s="26" t="str"/>
      <x:c r="H81" s="26" t="str"/>
      <x:c r="I81" s="26" t="str"/>
      <x:c r="J81" s="26" t="str"/>
      <x:c r="K81" s="26" t="str"/>
      <x:c r="L81" s="26" t="str"/>
      <x:c r="M81" s="25" t="str"/>
      <x:c r="N81" s="25" t="str"/>
      <x:c r="O81" s="26" t="str"/>
      <x:c r="P81" s="26" t="str"/>
      <x:c r="Q81" s="26" t="str"/>
      <x:c r="R81" s="26" t="str"/>
      <x:c r="S81" s="27" t="str"/>
      <x:c r="T81" s="26" t="str"/>
      <x:c r="U81" s="26" t="str"/>
      <x:c r="V81" s="25" t="str"/>
      <x:c r="W81" s="25" t="str"/>
      <x:c r="X81" s="26" t="str"/>
      <x:c r="Y81" s="26" t="str"/>
      <x:c r="Z81" s="26" t="str"/>
      <x:c r="AA81" s="26" t="str"/>
    </x:row>
    <x:row r="82">
      <x:c r="A82" s="25" t="str"/>
      <x:c r="B82" s="26" t="str"/>
      <x:c r="C82" s="26" t="str"/>
      <x:c r="D82" s="26" t="str"/>
      <x:c r="E82" s="26" t="str"/>
      <x:c r="F82" s="26" t="str"/>
      <x:c r="G82" s="26" t="str"/>
      <x:c r="H82" s="26" t="str"/>
      <x:c r="I82" s="26" t="str"/>
      <x:c r="J82" s="26" t="str"/>
      <x:c r="K82" s="26" t="str"/>
      <x:c r="L82" s="26" t="str"/>
      <x:c r="M82" s="25" t="str"/>
      <x:c r="N82" s="25" t="str"/>
      <x:c r="O82" s="26" t="str"/>
      <x:c r="P82" s="26" t="str"/>
      <x:c r="Q82" s="26" t="str"/>
      <x:c r="R82" s="26" t="str"/>
      <x:c r="S82" s="27" t="str"/>
      <x:c r="T82" s="26" t="str"/>
      <x:c r="U82" s="26" t="str"/>
      <x:c r="V82" s="25" t="str"/>
      <x:c r="W82" s="25" t="str"/>
      <x:c r="X82" s="26" t="str"/>
      <x:c r="Y82" s="26" t="str"/>
      <x:c r="Z82" s="26" t="str"/>
      <x:c r="AA82" s="26" t="str"/>
    </x:row>
    <x:row r="83">
      <x:c r="A83" s="25" t="str"/>
      <x:c r="B83" s="26" t="str"/>
      <x:c r="C83" s="26" t="str"/>
      <x:c r="D83" s="26" t="str"/>
      <x:c r="E83" s="26" t="str"/>
      <x:c r="F83" s="26" t="str"/>
      <x:c r="G83" s="26" t="str"/>
      <x:c r="H83" s="26" t="str"/>
      <x:c r="I83" s="26" t="str"/>
      <x:c r="J83" s="26" t="str"/>
      <x:c r="K83" s="26" t="str"/>
      <x:c r="L83" s="26" t="str"/>
      <x:c r="M83" s="25" t="str"/>
      <x:c r="N83" s="25" t="str"/>
      <x:c r="O83" s="26" t="str"/>
      <x:c r="P83" s="26" t="str"/>
      <x:c r="Q83" s="26" t="str"/>
      <x:c r="R83" s="26" t="str"/>
      <x:c r="S83" s="27" t="str"/>
      <x:c r="T83" s="26" t="str"/>
      <x:c r="U83" s="26" t="str"/>
      <x:c r="V83" s="25" t="str"/>
      <x:c r="W83" s="25" t="str"/>
      <x:c r="X83" s="26" t="str"/>
      <x:c r="Y83" s="26" t="str"/>
      <x:c r="Z83" s="26" t="str"/>
      <x:c r="AA83" s="26" t="str"/>
    </x:row>
    <x:row r="84">
      <x:c r="A84" s="25" t="str"/>
      <x:c r="B84" s="26" t="str"/>
      <x:c r="C84" s="26" t="str"/>
      <x:c r="D84" s="26" t="str"/>
      <x:c r="E84" s="26" t="str"/>
      <x:c r="F84" s="26" t="str"/>
      <x:c r="G84" s="26" t="str"/>
      <x:c r="H84" s="26" t="str"/>
      <x:c r="I84" s="26" t="str"/>
      <x:c r="J84" s="26" t="str"/>
      <x:c r="K84" s="26" t="str"/>
      <x:c r="L84" s="26" t="str"/>
      <x:c r="M84" s="25" t="str"/>
      <x:c r="N84" s="25" t="str"/>
      <x:c r="O84" s="26" t="str"/>
      <x:c r="P84" s="26" t="str"/>
      <x:c r="Q84" s="26" t="str"/>
      <x:c r="R84" s="26" t="str"/>
      <x:c r="S84" s="27" t="str"/>
      <x:c r="T84" s="26" t="str"/>
      <x:c r="U84" s="26" t="str"/>
      <x:c r="V84" s="25" t="str"/>
      <x:c r="W84" s="25" t="str"/>
      <x:c r="X84" s="26" t="str"/>
      <x:c r="Y84" s="26" t="str"/>
      <x:c r="Z84" s="26" t="str"/>
      <x:c r="AA84" s="26" t="str"/>
    </x:row>
    <x:row r="85">
      <x:c r="A85" s="25" t="str"/>
      <x:c r="B85" s="26" t="str"/>
      <x:c r="C85" s="26" t="str"/>
      <x:c r="D85" s="26" t="str"/>
      <x:c r="E85" s="26" t="str"/>
      <x:c r="F85" s="26" t="str"/>
      <x:c r="G85" s="26" t="str"/>
      <x:c r="H85" s="26" t="str"/>
      <x:c r="I85" s="26" t="str"/>
      <x:c r="J85" s="26" t="str"/>
      <x:c r="K85" s="26" t="str"/>
      <x:c r="L85" s="26" t="str"/>
      <x:c r="M85" s="25" t="str"/>
      <x:c r="N85" s="25" t="str"/>
      <x:c r="O85" s="26" t="str"/>
      <x:c r="P85" s="26" t="str"/>
      <x:c r="Q85" s="26" t="str"/>
      <x:c r="R85" s="26" t="str"/>
      <x:c r="S85" s="27" t="str"/>
      <x:c r="T85" s="26" t="str"/>
      <x:c r="U85" s="26" t="str"/>
      <x:c r="V85" s="25" t="str"/>
      <x:c r="W85" s="25" t="str"/>
      <x:c r="X85" s="26" t="str"/>
      <x:c r="Y85" s="26" t="str"/>
      <x:c r="Z85" s="26" t="str"/>
      <x:c r="AA85" s="26" t="str"/>
    </x:row>
    <x:row r="86">
      <x:c r="A86" s="25" t="str"/>
      <x:c r="B86" s="26" t="str"/>
      <x:c r="C86" s="26" t="str"/>
      <x:c r="D86" s="26" t="str"/>
      <x:c r="E86" s="26" t="str"/>
      <x:c r="F86" s="26" t="str"/>
      <x:c r="G86" s="26" t="str"/>
      <x:c r="H86" s="26" t="str"/>
      <x:c r="I86" s="26" t="str"/>
      <x:c r="J86" s="26" t="str"/>
      <x:c r="K86" s="26" t="str"/>
      <x:c r="L86" s="26" t="str"/>
      <x:c r="M86" s="25" t="str"/>
      <x:c r="N86" s="25" t="str"/>
      <x:c r="O86" s="26" t="str"/>
      <x:c r="P86" s="26" t="str"/>
      <x:c r="Q86" s="26" t="str"/>
      <x:c r="R86" s="26" t="str"/>
      <x:c r="S86" s="27" t="str"/>
      <x:c r="T86" s="26" t="str"/>
      <x:c r="U86" s="26" t="str"/>
      <x:c r="V86" s="25" t="str"/>
      <x:c r="W86" s="25" t="str"/>
      <x:c r="X86" s="26" t="str"/>
      <x:c r="Y86" s="26" t="str"/>
      <x:c r="Z86" s="26" t="str"/>
      <x:c r="AA86" s="26" t="str"/>
    </x:row>
    <x:row r="87">
      <x:c r="A87" s="25" t="str"/>
      <x:c r="B87" s="26" t="str"/>
      <x:c r="C87" s="26" t="str"/>
      <x:c r="D87" s="26" t="str"/>
      <x:c r="E87" s="26" t="str"/>
      <x:c r="F87" s="26" t="str"/>
      <x:c r="G87" s="26" t="str"/>
      <x:c r="H87" s="26" t="str"/>
      <x:c r="I87" s="26" t="str"/>
      <x:c r="J87" s="26" t="str"/>
      <x:c r="K87" s="26" t="str"/>
      <x:c r="L87" s="26" t="str"/>
      <x:c r="M87" s="25" t="str"/>
      <x:c r="N87" s="25" t="str"/>
      <x:c r="O87" s="26" t="str"/>
      <x:c r="P87" s="26" t="str"/>
      <x:c r="Q87" s="26" t="str"/>
      <x:c r="R87" s="26" t="str"/>
      <x:c r="S87" s="27" t="str"/>
      <x:c r="T87" s="26" t="str"/>
      <x:c r="U87" s="26" t="str"/>
      <x:c r="V87" s="25" t="str"/>
      <x:c r="W87" s="25" t="str"/>
      <x:c r="X87" s="26" t="str"/>
      <x:c r="Y87" s="26" t="str"/>
      <x:c r="Z87" s="26" t="str"/>
      <x:c r="AA87" s="26" t="str"/>
    </x:row>
    <x:row r="88">
      <x:c r="A88" s="25" t="str"/>
      <x:c r="B88" s="26" t="str"/>
      <x:c r="C88" s="26" t="str"/>
      <x:c r="D88" s="26" t="str"/>
      <x:c r="E88" s="26" t="str"/>
      <x:c r="F88" s="26" t="str"/>
      <x:c r="G88" s="26" t="str"/>
      <x:c r="H88" s="26" t="str"/>
      <x:c r="I88" s="26" t="str"/>
      <x:c r="J88" s="26" t="str"/>
      <x:c r="K88" s="26" t="str"/>
      <x:c r="L88" s="26" t="str"/>
      <x:c r="M88" s="25" t="str"/>
      <x:c r="N88" s="25" t="str"/>
      <x:c r="O88" s="26" t="str"/>
      <x:c r="P88" s="26" t="str"/>
      <x:c r="Q88" s="26" t="str"/>
      <x:c r="R88" s="26" t="str"/>
      <x:c r="S88" s="27" t="str"/>
      <x:c r="T88" s="26" t="str"/>
      <x:c r="U88" s="26" t="str"/>
      <x:c r="V88" s="25" t="str"/>
      <x:c r="W88" s="25" t="str"/>
      <x:c r="X88" s="26" t="str"/>
      <x:c r="Y88" s="26" t="str"/>
      <x:c r="Z88" s="26" t="str"/>
      <x:c r="AA88" s="26" t="str"/>
    </x:row>
    <x:row r="89">
      <x:c r="A89" s="25" t="str"/>
      <x:c r="B89" s="26" t="str"/>
      <x:c r="C89" s="26" t="str"/>
      <x:c r="D89" s="26" t="str"/>
      <x:c r="E89" s="26" t="str"/>
      <x:c r="F89" s="26" t="str"/>
      <x:c r="G89" s="26" t="str"/>
      <x:c r="H89" s="26" t="str"/>
      <x:c r="I89" s="26" t="str"/>
      <x:c r="J89" s="26" t="str"/>
      <x:c r="K89" s="26" t="str"/>
      <x:c r="L89" s="26" t="str"/>
      <x:c r="M89" s="25" t="str"/>
      <x:c r="N89" s="25" t="str"/>
      <x:c r="O89" s="26" t="str"/>
      <x:c r="P89" s="26" t="str"/>
      <x:c r="Q89" s="26" t="str"/>
      <x:c r="R89" s="26" t="str"/>
      <x:c r="S89" s="27" t="str"/>
      <x:c r="T89" s="26" t="str"/>
      <x:c r="U89" s="26" t="str"/>
      <x:c r="V89" s="25" t="str"/>
      <x:c r="W89" s="25" t="str"/>
      <x:c r="X89" s="26" t="str"/>
      <x:c r="Y89" s="26" t="str"/>
      <x:c r="Z89" s="26" t="str"/>
      <x:c r="AA89" s="26" t="str"/>
    </x:row>
    <x:row r="90">
      <x:c r="A90" s="25" t="str"/>
      <x:c r="B90" s="26" t="str"/>
      <x:c r="C90" s="26" t="str"/>
      <x:c r="D90" s="26" t="str"/>
      <x:c r="E90" s="26" t="str"/>
      <x:c r="F90" s="26" t="str"/>
      <x:c r="G90" s="26" t="str"/>
      <x:c r="H90" s="26" t="str"/>
      <x:c r="I90" s="26" t="str"/>
      <x:c r="J90" s="26" t="str"/>
      <x:c r="K90" s="26" t="str"/>
      <x:c r="L90" s="26" t="str"/>
      <x:c r="M90" s="25" t="str"/>
      <x:c r="N90" s="25" t="str"/>
      <x:c r="O90" s="26" t="str"/>
      <x:c r="P90" s="26" t="str"/>
      <x:c r="Q90" s="26" t="str"/>
      <x:c r="R90" s="26" t="str"/>
      <x:c r="S90" s="27" t="str"/>
      <x:c r="T90" s="26" t="str"/>
      <x:c r="U90" s="26" t="str"/>
      <x:c r="V90" s="25" t="str"/>
      <x:c r="W90" s="25" t="str"/>
      <x:c r="X90" s="26" t="str"/>
      <x:c r="Y90" s="26" t="str"/>
      <x:c r="Z90" s="26" t="str"/>
      <x:c r="AA90" s="26" t="str"/>
    </x:row>
    <x:row r="91">
      <x:c r="A91" s="25" t="str"/>
      <x:c r="B91" s="26" t="str"/>
      <x:c r="C91" s="26" t="str"/>
      <x:c r="D91" s="26" t="str"/>
      <x:c r="E91" s="26" t="str"/>
      <x:c r="F91" s="26" t="str"/>
      <x:c r="G91" s="26" t="str"/>
      <x:c r="H91" s="26" t="str"/>
      <x:c r="I91" s="26" t="str"/>
      <x:c r="J91" s="26" t="str"/>
      <x:c r="K91" s="26" t="str"/>
      <x:c r="L91" s="26" t="str"/>
      <x:c r="M91" s="25" t="str"/>
      <x:c r="N91" s="25" t="str"/>
      <x:c r="O91" s="26" t="str"/>
      <x:c r="P91" s="26" t="str"/>
      <x:c r="Q91" s="26" t="str"/>
      <x:c r="R91" s="26" t="str"/>
      <x:c r="S91" s="27" t="str"/>
      <x:c r="T91" s="26" t="str"/>
      <x:c r="U91" s="26" t="str"/>
      <x:c r="V91" s="25" t="str"/>
      <x:c r="W91" s="25" t="str"/>
      <x:c r="X91" s="26" t="str"/>
      <x:c r="Y91" s="26" t="str"/>
      <x:c r="Z91" s="26" t="str"/>
      <x:c r="AA91" s="26" t="str"/>
    </x:row>
    <x:row r="92">
      <x:c r="A92" s="25" t="str"/>
      <x:c r="B92" s="26" t="str"/>
      <x:c r="C92" s="26" t="str"/>
      <x:c r="D92" s="26" t="str"/>
      <x:c r="E92" s="26" t="str"/>
      <x:c r="F92" s="26" t="str"/>
      <x:c r="G92" s="26" t="str"/>
      <x:c r="H92" s="26" t="str"/>
      <x:c r="I92" s="26" t="str"/>
      <x:c r="J92" s="26" t="str"/>
      <x:c r="K92" s="26" t="str"/>
      <x:c r="L92" s="26" t="str"/>
      <x:c r="M92" s="25" t="str"/>
      <x:c r="N92" s="25" t="str"/>
      <x:c r="O92" s="26" t="str"/>
      <x:c r="P92" s="26" t="str"/>
      <x:c r="Q92" s="26" t="str"/>
      <x:c r="R92" s="26" t="str"/>
      <x:c r="S92" s="27" t="str"/>
      <x:c r="T92" s="26" t="str"/>
      <x:c r="U92" s="26" t="str"/>
      <x:c r="V92" s="25" t="str"/>
      <x:c r="W92" s="25" t="str"/>
      <x:c r="X92" s="26" t="str"/>
      <x:c r="Y92" s="26" t="str"/>
      <x:c r="Z92" s="26" t="str"/>
      <x:c r="AA92" s="26" t="str"/>
    </x:row>
    <x:row r="93">
      <x:c r="A93" s="25" t="str"/>
      <x:c r="B93" s="26" t="str"/>
      <x:c r="C93" s="26" t="str"/>
      <x:c r="D93" s="26" t="str"/>
      <x:c r="E93" s="26" t="str"/>
      <x:c r="F93" s="26" t="str"/>
      <x:c r="G93" s="26" t="str"/>
      <x:c r="H93" s="26" t="str"/>
      <x:c r="I93" s="26" t="str"/>
      <x:c r="J93" s="26" t="str"/>
      <x:c r="K93" s="26" t="str"/>
      <x:c r="L93" s="26" t="str"/>
      <x:c r="M93" s="25" t="str"/>
      <x:c r="N93" s="25" t="str"/>
      <x:c r="O93" s="26" t="str"/>
      <x:c r="P93" s="26" t="str"/>
      <x:c r="Q93" s="26" t="str"/>
      <x:c r="R93" s="26" t="str"/>
      <x:c r="S93" s="27" t="str"/>
      <x:c r="T93" s="26" t="str"/>
      <x:c r="U93" s="26" t="str"/>
      <x:c r="V93" s="25" t="str"/>
      <x:c r="W93" s="25" t="str"/>
      <x:c r="X93" s="26" t="str"/>
      <x:c r="Y93" s="26" t="str"/>
      <x:c r="Z93" s="26" t="str"/>
      <x:c r="AA93" s="26" t="str"/>
    </x:row>
    <x:row r="94">
      <x:c r="A94" s="25" t="str"/>
      <x:c r="B94" s="26" t="str"/>
      <x:c r="C94" s="26" t="str"/>
      <x:c r="D94" s="26" t="str"/>
      <x:c r="E94" s="26" t="str"/>
      <x:c r="F94" s="26" t="str"/>
      <x:c r="G94" s="26" t="str"/>
      <x:c r="H94" s="26" t="str"/>
      <x:c r="I94" s="26" t="str"/>
      <x:c r="J94" s="26" t="str"/>
      <x:c r="K94" s="26" t="str"/>
      <x:c r="L94" s="26" t="str"/>
      <x:c r="M94" s="25" t="str"/>
      <x:c r="N94" s="25" t="str"/>
      <x:c r="O94" s="26" t="str"/>
      <x:c r="P94" s="26" t="str"/>
      <x:c r="Q94" s="26" t="str"/>
      <x:c r="R94" s="26" t="str"/>
      <x:c r="S94" s="27" t="str"/>
      <x:c r="T94" s="26" t="str"/>
      <x:c r="U94" s="26" t="str"/>
      <x:c r="V94" s="25" t="str"/>
      <x:c r="W94" s="25" t="str"/>
      <x:c r="X94" s="26" t="str"/>
      <x:c r="Y94" s="26" t="str"/>
      <x:c r="Z94" s="26" t="str"/>
      <x:c r="AA94" s="26" t="str"/>
    </x:row>
    <x:row r="95">
      <x:c r="A95" s="25" t="str"/>
      <x:c r="B95" s="26" t="str"/>
      <x:c r="C95" s="26" t="str"/>
      <x:c r="D95" s="26" t="str"/>
      <x:c r="E95" s="26" t="str"/>
      <x:c r="F95" s="26" t="str"/>
      <x:c r="G95" s="26" t="str"/>
      <x:c r="H95" s="26" t="str"/>
      <x:c r="I95" s="26" t="str"/>
      <x:c r="J95" s="26" t="str"/>
      <x:c r="K95" s="26" t="str"/>
      <x:c r="L95" s="26" t="str"/>
      <x:c r="M95" s="25" t="str"/>
      <x:c r="N95" s="25" t="str"/>
      <x:c r="O95" s="26" t="str"/>
      <x:c r="P95" s="26" t="str"/>
      <x:c r="Q95" s="26" t="str"/>
      <x:c r="R95" s="26" t="str"/>
      <x:c r="S95" s="27" t="str"/>
      <x:c r="T95" s="26" t="str"/>
      <x:c r="U95" s="26" t="str"/>
      <x:c r="V95" s="25" t="str"/>
      <x:c r="W95" s="25" t="str"/>
      <x:c r="X95" s="26" t="str"/>
      <x:c r="Y95" s="26" t="str"/>
      <x:c r="Z95" s="26" t="str"/>
      <x:c r="AA95" s="26" t="str"/>
    </x:row>
    <x:row r="96">
      <x:c r="A96" s="25" t="str"/>
      <x:c r="B96" s="26" t="str"/>
      <x:c r="C96" s="26" t="str"/>
      <x:c r="D96" s="26" t="str"/>
      <x:c r="E96" s="26" t="str"/>
      <x:c r="F96" s="26" t="str"/>
      <x:c r="G96" s="26" t="str"/>
      <x:c r="H96" s="26" t="str"/>
      <x:c r="I96" s="26" t="str"/>
      <x:c r="J96" s="26" t="str"/>
      <x:c r="K96" s="26" t="str"/>
      <x:c r="L96" s="26" t="str"/>
      <x:c r="M96" s="25" t="str"/>
      <x:c r="N96" s="25" t="str"/>
      <x:c r="O96" s="26" t="str"/>
      <x:c r="P96" s="26" t="str"/>
      <x:c r="Q96" s="26" t="str"/>
      <x:c r="R96" s="26" t="str"/>
      <x:c r="S96" s="27" t="str"/>
      <x:c r="T96" s="26" t="str"/>
      <x:c r="U96" s="26" t="str"/>
      <x:c r="V96" s="25" t="str"/>
      <x:c r="W96" s="25" t="str"/>
      <x:c r="X96" s="26" t="str"/>
      <x:c r="Y96" s="26" t="str"/>
      <x:c r="Z96" s="26" t="str"/>
      <x:c r="AA96" s="26" t="str"/>
    </x:row>
    <x:row r="97">
      <x:c r="A97" s="25" t="str"/>
      <x:c r="B97" s="26" t="str"/>
      <x:c r="C97" s="26" t="str"/>
      <x:c r="D97" s="26" t="str"/>
      <x:c r="E97" s="26" t="str"/>
      <x:c r="F97" s="26" t="str"/>
      <x:c r="G97" s="26" t="str"/>
      <x:c r="H97" s="26" t="str"/>
      <x:c r="I97" s="26" t="str"/>
      <x:c r="J97" s="26" t="str"/>
      <x:c r="K97" s="26" t="str"/>
      <x:c r="L97" s="26" t="str"/>
      <x:c r="M97" s="25" t="str"/>
      <x:c r="N97" s="25" t="str"/>
      <x:c r="O97" s="26" t="str"/>
      <x:c r="P97" s="26" t="str"/>
      <x:c r="Q97" s="26" t="str"/>
      <x:c r="R97" s="26" t="str"/>
      <x:c r="S97" s="27" t="str"/>
      <x:c r="T97" s="26" t="str"/>
      <x:c r="U97" s="26" t="str"/>
      <x:c r="V97" s="25" t="str"/>
      <x:c r="W97" s="25" t="str"/>
      <x:c r="X97" s="26" t="str"/>
      <x:c r="Y97" s="26" t="str"/>
      <x:c r="Z97" s="26" t="str"/>
      <x:c r="AA97" s="26" t="str"/>
    </x:row>
    <x:row r="98">
      <x:c r="A98" s="25" t="str"/>
      <x:c r="B98" s="26" t="str"/>
      <x:c r="C98" s="26" t="str"/>
      <x:c r="D98" s="26" t="str"/>
      <x:c r="E98" s="26" t="str"/>
      <x:c r="F98" s="26" t="str"/>
      <x:c r="G98" s="26" t="str"/>
      <x:c r="H98" s="26" t="str"/>
      <x:c r="I98" s="26" t="str"/>
      <x:c r="J98" s="26" t="str"/>
      <x:c r="K98" s="26" t="str"/>
      <x:c r="L98" s="26" t="str"/>
      <x:c r="M98" s="25" t="str"/>
      <x:c r="N98" s="25" t="str"/>
      <x:c r="O98" s="26" t="str"/>
      <x:c r="P98" s="26" t="str"/>
      <x:c r="Q98" s="26" t="str"/>
      <x:c r="R98" s="26" t="str"/>
      <x:c r="S98" s="27" t="str"/>
      <x:c r="T98" s="26" t="str"/>
      <x:c r="U98" s="26" t="str"/>
      <x:c r="V98" s="25" t="str"/>
      <x:c r="W98" s="25" t="str"/>
      <x:c r="X98" s="26" t="str"/>
      <x:c r="Y98" s="26" t="str"/>
      <x:c r="Z98" s="26" t="str"/>
      <x:c r="AA98" s="26" t="str"/>
    </x:row>
    <x:row r="99">
      <x:c r="A99" s="25" t="str"/>
      <x:c r="B99" s="26" t="str"/>
      <x:c r="C99" s="26" t="str"/>
      <x:c r="D99" s="26" t="str"/>
      <x:c r="E99" s="26" t="str"/>
      <x:c r="F99" s="26" t="str"/>
      <x:c r="G99" s="26" t="str"/>
      <x:c r="H99" s="26" t="str"/>
      <x:c r="I99" s="26" t="str"/>
      <x:c r="J99" s="26" t="str"/>
      <x:c r="K99" s="26" t="str"/>
      <x:c r="L99" s="26" t="str"/>
      <x:c r="M99" s="25" t="str"/>
      <x:c r="N99" s="25" t="str"/>
      <x:c r="O99" s="26" t="str"/>
      <x:c r="P99" s="26" t="str"/>
      <x:c r="Q99" s="26" t="str"/>
      <x:c r="R99" s="26" t="str"/>
      <x:c r="S99" s="27" t="str"/>
      <x:c r="T99" s="26" t="str"/>
      <x:c r="U99" s="26" t="str"/>
      <x:c r="V99" s="25" t="str"/>
      <x:c r="W99" s="25" t="str"/>
      <x:c r="X99" s="26" t="str"/>
      <x:c r="Y99" s="26" t="str"/>
      <x:c r="Z99" s="26" t="str"/>
      <x:c r="AA99" s="26" t="str"/>
    </x:row>
    <x:row r="100">
      <x:c r="A100" s="25" t="str"/>
      <x:c r="B100" s="26" t="str"/>
      <x:c r="C100" s="26" t="str"/>
      <x:c r="D100" s="26" t="str"/>
      <x:c r="E100" s="26" t="str"/>
      <x:c r="F100" s="26" t="str"/>
      <x:c r="G100" s="26" t="str"/>
      <x:c r="H100" s="26" t="str"/>
      <x:c r="I100" s="26" t="str"/>
      <x:c r="J100" s="26" t="str"/>
      <x:c r="K100" s="26" t="str"/>
      <x:c r="L100" s="26" t="str"/>
      <x:c r="M100" s="25" t="str"/>
      <x:c r="N100" s="25" t="str"/>
      <x:c r="O100" s="26" t="str"/>
      <x:c r="P100" s="26" t="str"/>
      <x:c r="Q100" s="26" t="str"/>
      <x:c r="R100" s="26" t="str"/>
      <x:c r="S100" s="27" t="str"/>
      <x:c r="T100" s="26" t="str"/>
      <x:c r="U100" s="26" t="str"/>
      <x:c r="V100" s="25" t="str"/>
      <x:c r="W100" s="25" t="str"/>
      <x:c r="X100" s="26" t="str"/>
      <x:c r="Y100" s="26" t="str"/>
      <x:c r="Z100" s="26" t="str"/>
      <x:c r="AA100" s="26" t="str"/>
    </x:row>
    <x:row r="101">
      <x:c r="A101" s="25" t="str"/>
      <x:c r="B101" s="26" t="str"/>
      <x:c r="C101" s="26" t="str"/>
      <x:c r="D101" s="26" t="str"/>
      <x:c r="E101" s="26" t="str"/>
      <x:c r="F101" s="26" t="str"/>
      <x:c r="G101" s="26" t="str"/>
      <x:c r="H101" s="26" t="str"/>
      <x:c r="I101" s="26" t="str"/>
      <x:c r="J101" s="26" t="str"/>
      <x:c r="K101" s="26" t="str"/>
      <x:c r="L101" s="26" t="str"/>
      <x:c r="M101" s="25" t="str"/>
      <x:c r="N101" s="25" t="str"/>
      <x:c r="O101" s="26" t="str"/>
      <x:c r="P101" s="26" t="str"/>
      <x:c r="Q101" s="26" t="str"/>
      <x:c r="R101" s="26" t="str"/>
      <x:c r="S101" s="27" t="str"/>
      <x:c r="T101" s="26" t="str"/>
      <x:c r="U101" s="26" t="str"/>
      <x:c r="V101" s="25" t="str"/>
      <x:c r="W101" s="25" t="str"/>
      <x:c r="X101" s="26" t="str"/>
      <x:c r="Y101" s="26" t="str"/>
      <x:c r="Z101" s="26" t="str"/>
      <x:c r="AA101" s="26" t="str"/>
    </x:row>
    <x:row r="102">
      <x:c r="A102" s="25" t="str"/>
      <x:c r="B102" s="26" t="str"/>
      <x:c r="C102" s="26" t="str"/>
      <x:c r="D102" s="26" t="str"/>
      <x:c r="E102" s="26" t="str"/>
      <x:c r="F102" s="26" t="str"/>
      <x:c r="G102" s="26" t="str"/>
      <x:c r="H102" s="26" t="str"/>
      <x:c r="I102" s="26" t="str"/>
      <x:c r="J102" s="26" t="str"/>
      <x:c r="K102" s="26" t="str"/>
      <x:c r="L102" s="26" t="str"/>
      <x:c r="M102" s="25" t="str"/>
      <x:c r="N102" s="25" t="str"/>
      <x:c r="O102" s="26" t="str"/>
      <x:c r="P102" s="26" t="str"/>
      <x:c r="Q102" s="26" t="str"/>
      <x:c r="R102" s="26" t="str"/>
      <x:c r="S102" s="27" t="str"/>
      <x:c r="T102" s="26" t="str"/>
      <x:c r="U102" s="26" t="str"/>
      <x:c r="V102" s="25" t="str"/>
      <x:c r="W102" s="25" t="str"/>
      <x:c r="X102" s="26" t="str"/>
      <x:c r="Y102" s="26" t="str"/>
      <x:c r="Z102" s="26" t="str"/>
      <x:c r="AA102" s="26" t="str"/>
    </x:row>
    <x:row r="103">
      <x:c r="A103" s="25" t="str"/>
      <x:c r="B103" s="26" t="str"/>
      <x:c r="C103" s="26" t="str"/>
      <x:c r="D103" s="26" t="str"/>
      <x:c r="E103" s="26" t="str"/>
      <x:c r="F103" s="26" t="str"/>
      <x:c r="G103" s="26" t="str"/>
      <x:c r="H103" s="26" t="str"/>
      <x:c r="I103" s="26" t="str"/>
      <x:c r="J103" s="26" t="str"/>
      <x:c r="K103" s="26" t="str"/>
      <x:c r="L103" s="26" t="str"/>
      <x:c r="M103" s="25" t="str"/>
      <x:c r="N103" s="25" t="str"/>
      <x:c r="O103" s="26" t="str"/>
      <x:c r="P103" s="26" t="str"/>
      <x:c r="Q103" s="26" t="str"/>
      <x:c r="R103" s="26" t="str"/>
      <x:c r="S103" s="27" t="str"/>
      <x:c r="T103" s="26" t="str"/>
      <x:c r="U103" s="26" t="str"/>
      <x:c r="V103" s="25" t="str"/>
      <x:c r="W103" s="25" t="str"/>
      <x:c r="X103" s="26" t="str"/>
      <x:c r="Y103" s="26" t="str"/>
      <x:c r="Z103" s="26" t="str"/>
      <x:c r="AA103" s="26" t="str"/>
    </x:row>
    <x:row r="104">
      <x:c r="A104" s="25" t="str"/>
      <x:c r="B104" s="26" t="str"/>
      <x:c r="C104" s="26" t="str"/>
      <x:c r="D104" s="26" t="str"/>
      <x:c r="E104" s="26" t="str"/>
      <x:c r="F104" s="26" t="str"/>
      <x:c r="G104" s="26" t="str"/>
      <x:c r="H104" s="26" t="str"/>
      <x:c r="I104" s="26" t="str"/>
      <x:c r="J104" s="26" t="str"/>
      <x:c r="K104" s="26" t="str"/>
      <x:c r="L104" s="26" t="str"/>
      <x:c r="M104" s="25" t="str"/>
      <x:c r="N104" s="25" t="str"/>
      <x:c r="O104" s="26" t="str"/>
      <x:c r="P104" s="26" t="str"/>
      <x:c r="Q104" s="26" t="str"/>
      <x:c r="R104" s="26" t="str"/>
      <x:c r="S104" s="27" t="str"/>
      <x:c r="T104" s="26" t="str"/>
      <x:c r="U104" s="26" t="str"/>
      <x:c r="V104" s="25" t="str"/>
      <x:c r="W104" s="25" t="str"/>
      <x:c r="X104" s="26" t="str"/>
      <x:c r="Y104" s="26" t="str"/>
      <x:c r="Z104" s="26" t="str"/>
      <x:c r="AA104" s="26" t="str"/>
    </x:row>
    <x:row r="105">
      <x:c r="A105" s="25" t="str"/>
      <x:c r="B105" s="26" t="str"/>
      <x:c r="C105" s="26" t="str"/>
      <x:c r="D105" s="26" t="str"/>
      <x:c r="E105" s="26" t="str"/>
      <x:c r="F105" s="26" t="str"/>
      <x:c r="G105" s="26" t="str"/>
      <x:c r="H105" s="26" t="str"/>
      <x:c r="I105" s="26" t="str"/>
      <x:c r="J105" s="26" t="str"/>
      <x:c r="K105" s="26" t="str"/>
      <x:c r="L105" s="26" t="str"/>
      <x:c r="M105" s="25" t="str"/>
      <x:c r="N105" s="25" t="str"/>
      <x:c r="O105" s="26" t="str"/>
      <x:c r="P105" s="26" t="str"/>
      <x:c r="Q105" s="26" t="str"/>
      <x:c r="R105" s="26" t="str"/>
      <x:c r="S105" s="27" t="str"/>
      <x:c r="T105" s="26" t="str"/>
      <x:c r="U105" s="26" t="str"/>
      <x:c r="V105" s="25" t="str"/>
      <x:c r="W105" s="25" t="str"/>
      <x:c r="X105" s="26" t="str"/>
      <x:c r="Y105" s="26" t="str"/>
      <x:c r="Z105" s="26" t="str"/>
      <x:c r="AA105" s="26" t="str"/>
    </x:row>
    <x:row r="106">
      <x:c r="A106" s="25" t="str"/>
      <x:c r="B106" s="26" t="str"/>
      <x:c r="C106" s="26" t="str"/>
      <x:c r="D106" s="26" t="str"/>
      <x:c r="E106" s="26" t="str"/>
      <x:c r="F106" s="26" t="str"/>
      <x:c r="G106" s="26" t="str"/>
      <x:c r="H106" s="26" t="str"/>
      <x:c r="I106" s="26" t="str"/>
      <x:c r="J106" s="26" t="str"/>
      <x:c r="K106" s="26" t="str"/>
      <x:c r="L106" s="26" t="str"/>
      <x:c r="M106" s="25" t="str"/>
      <x:c r="N106" s="25" t="str"/>
      <x:c r="O106" s="26" t="str"/>
      <x:c r="P106" s="26" t="str"/>
      <x:c r="Q106" s="26" t="str"/>
      <x:c r="R106" s="26" t="str"/>
      <x:c r="S106" s="27" t="str"/>
      <x:c r="T106" s="26" t="str"/>
      <x:c r="U106" s="26" t="str"/>
      <x:c r="V106" s="25" t="str"/>
      <x:c r="W106" s="25" t="str"/>
      <x:c r="X106" s="26" t="str"/>
      <x:c r="Y106" s="26" t="str"/>
      <x:c r="Z106" s="26" t="str"/>
      <x:c r="AA106" s="26" t="str"/>
    </x:row>
    <x:row r="107">
      <x:c r="A107" s="25" t="str"/>
      <x:c r="B107" s="26" t="str"/>
      <x:c r="C107" s="26" t="str"/>
      <x:c r="D107" s="26" t="str"/>
      <x:c r="E107" s="26" t="str"/>
      <x:c r="F107" s="26" t="str"/>
      <x:c r="G107" s="26" t="str"/>
      <x:c r="H107" s="26" t="str"/>
      <x:c r="I107" s="26" t="str"/>
      <x:c r="J107" s="26" t="str"/>
      <x:c r="K107" s="26" t="str"/>
      <x:c r="L107" s="26" t="str"/>
      <x:c r="M107" s="25" t="str"/>
      <x:c r="N107" s="25" t="str"/>
      <x:c r="O107" s="26" t="str"/>
      <x:c r="P107" s="26" t="str"/>
      <x:c r="Q107" s="26" t="str"/>
      <x:c r="R107" s="26" t="str"/>
      <x:c r="S107" s="27" t="str"/>
      <x:c r="T107" s="26" t="str"/>
      <x:c r="U107" s="26" t="str"/>
      <x:c r="V107" s="25" t="str"/>
      <x:c r="W107" s="25" t="str"/>
      <x:c r="X107" s="26" t="str"/>
      <x:c r="Y107" s="26" t="str"/>
      <x:c r="Z107" s="26" t="str"/>
      <x:c r="AA107" s="26" t="str"/>
    </x:row>
    <x:row r="108">
      <x:c r="A108" s="25" t="str"/>
      <x:c r="B108" s="26" t="str"/>
      <x:c r="C108" s="26" t="str"/>
      <x:c r="D108" s="26" t="str"/>
      <x:c r="E108" s="26" t="str"/>
      <x:c r="F108" s="26" t="str"/>
      <x:c r="G108" s="26" t="str"/>
      <x:c r="H108" s="26" t="str"/>
      <x:c r="I108" s="26" t="str"/>
      <x:c r="J108" s="26" t="str"/>
      <x:c r="K108" s="26" t="str"/>
      <x:c r="L108" s="26" t="str"/>
      <x:c r="M108" s="25" t="str"/>
      <x:c r="N108" s="25" t="str"/>
      <x:c r="O108" s="26" t="str"/>
      <x:c r="P108" s="26" t="str"/>
      <x:c r="Q108" s="26" t="str"/>
      <x:c r="R108" s="26" t="str"/>
      <x:c r="S108" s="27" t="str"/>
      <x:c r="T108" s="26" t="str"/>
      <x:c r="U108" s="26" t="str"/>
      <x:c r="V108" s="25" t="str"/>
      <x:c r="W108" s="25" t="str"/>
      <x:c r="X108" s="26" t="str"/>
      <x:c r="Y108" s="26" t="str"/>
      <x:c r="Z108" s="26" t="str"/>
      <x:c r="AA108" s="26" t="str"/>
    </x:row>
    <x:row r="109">
      <x:c r="A109" s="25" t="str"/>
      <x:c r="B109" s="26" t="str"/>
      <x:c r="C109" s="26" t="str"/>
      <x:c r="D109" s="26" t="str"/>
      <x:c r="E109" s="26" t="str"/>
      <x:c r="F109" s="26" t="str"/>
      <x:c r="G109" s="26" t="str"/>
      <x:c r="H109" s="26" t="str"/>
      <x:c r="I109" s="26" t="str"/>
      <x:c r="J109" s="26" t="str"/>
      <x:c r="K109" s="26" t="str"/>
      <x:c r="L109" s="26" t="str"/>
      <x:c r="M109" s="25" t="str"/>
      <x:c r="N109" s="25" t="str"/>
      <x:c r="O109" s="26" t="str"/>
      <x:c r="P109" s="26" t="str"/>
      <x:c r="Q109" s="26" t="str"/>
      <x:c r="R109" s="26" t="str"/>
      <x:c r="S109" s="27" t="str"/>
      <x:c r="T109" s="26" t="str"/>
      <x:c r="U109" s="26" t="str"/>
      <x:c r="V109" s="25" t="str"/>
      <x:c r="W109" s="25" t="str"/>
      <x:c r="X109" s="26" t="str"/>
      <x:c r="Y109" s="26" t="str"/>
      <x:c r="Z109" s="26" t="str"/>
      <x:c r="AA109" s="26" t="str"/>
    </x:row>
    <x:row r="110">
      <x:c r="A110" s="25" t="str"/>
      <x:c r="B110" s="26" t="str"/>
      <x:c r="C110" s="26" t="str"/>
      <x:c r="D110" s="26" t="str"/>
      <x:c r="E110" s="26" t="str"/>
      <x:c r="F110" s="26" t="str"/>
      <x:c r="G110" s="26" t="str"/>
      <x:c r="H110" s="26" t="str"/>
      <x:c r="I110" s="26" t="str"/>
      <x:c r="J110" s="26" t="str"/>
      <x:c r="K110" s="26" t="str"/>
      <x:c r="L110" s="26" t="str"/>
      <x:c r="M110" s="25" t="str"/>
      <x:c r="N110" s="25" t="str"/>
      <x:c r="O110" s="26" t="str"/>
      <x:c r="P110" s="26" t="str"/>
      <x:c r="Q110" s="26" t="str"/>
      <x:c r="R110" s="26" t="str"/>
      <x:c r="S110" s="27" t="str"/>
      <x:c r="T110" s="26" t="str"/>
      <x:c r="U110" s="26" t="str"/>
      <x:c r="V110" s="25" t="str"/>
      <x:c r="W110" s="25" t="str"/>
      <x:c r="X110" s="26" t="str"/>
      <x:c r="Y110" s="26" t="str"/>
      <x:c r="Z110" s="26" t="str"/>
      <x:c r="AA110" s="26" t="str"/>
    </x:row>
    <x:row r="111">
      <x:c r="A111" s="25" t="str"/>
      <x:c r="B111" s="26" t="str"/>
      <x:c r="C111" s="26" t="str"/>
      <x:c r="D111" s="26" t="str"/>
      <x:c r="E111" s="26" t="str"/>
      <x:c r="F111" s="26" t="str"/>
      <x:c r="G111" s="26" t="str"/>
      <x:c r="H111" s="26" t="str"/>
      <x:c r="I111" s="26" t="str"/>
      <x:c r="J111" s="26" t="str"/>
      <x:c r="K111" s="26" t="str"/>
      <x:c r="L111" s="26" t="str"/>
      <x:c r="M111" s="25" t="str"/>
      <x:c r="N111" s="25" t="str"/>
      <x:c r="O111" s="26" t="str"/>
      <x:c r="P111" s="26" t="str"/>
      <x:c r="Q111" s="26" t="str"/>
      <x:c r="R111" s="26" t="str"/>
      <x:c r="S111" s="27" t="str"/>
      <x:c r="T111" s="26" t="str"/>
      <x:c r="U111" s="26" t="str"/>
      <x:c r="V111" s="25" t="str"/>
      <x:c r="W111" s="25" t="str"/>
      <x:c r="X111" s="26" t="str"/>
      <x:c r="Y111" s="26" t="str"/>
      <x:c r="Z111" s="26" t="str"/>
      <x:c r="AA111" s="26" t="str"/>
    </x:row>
    <x:row r="112">
      <x:c r="A112" s="25" t="str"/>
      <x:c r="B112" s="26" t="str"/>
      <x:c r="C112" s="26" t="str"/>
      <x:c r="D112" s="26" t="str"/>
      <x:c r="E112" s="26" t="str"/>
      <x:c r="F112" s="26" t="str"/>
      <x:c r="G112" s="26" t="str"/>
      <x:c r="H112" s="26" t="str"/>
      <x:c r="I112" s="26" t="str"/>
      <x:c r="J112" s="26" t="str"/>
      <x:c r="K112" s="26" t="str"/>
      <x:c r="L112" s="26" t="str"/>
      <x:c r="M112" s="25" t="str"/>
      <x:c r="N112" s="25" t="str"/>
      <x:c r="O112" s="26" t="str"/>
      <x:c r="P112" s="26" t="str"/>
      <x:c r="Q112" s="26" t="str"/>
      <x:c r="R112" s="26" t="str"/>
      <x:c r="S112" s="27" t="str"/>
      <x:c r="T112" s="26" t="str"/>
      <x:c r="U112" s="26" t="str"/>
      <x:c r="V112" s="25" t="str"/>
      <x:c r="W112" s="25" t="str"/>
      <x:c r="X112" s="26" t="str"/>
      <x:c r="Y112" s="26" t="str"/>
      <x:c r="Z112" s="26" t="str"/>
      <x:c r="AA112" s="26" t="str"/>
    </x:row>
    <x:row r="113">
      <x:c r="A113" s="25" t="str"/>
      <x:c r="B113" s="26" t="str"/>
      <x:c r="C113" s="26" t="str"/>
      <x:c r="D113" s="26" t="str"/>
      <x:c r="E113" s="26" t="str"/>
      <x:c r="F113" s="26" t="str"/>
      <x:c r="G113" s="26" t="str"/>
      <x:c r="H113" s="26" t="str"/>
      <x:c r="I113" s="26" t="str"/>
      <x:c r="J113" s="26" t="str"/>
      <x:c r="K113" s="26" t="str"/>
      <x:c r="L113" s="26" t="str"/>
      <x:c r="M113" s="25" t="str"/>
      <x:c r="N113" s="25" t="str"/>
      <x:c r="O113" s="26" t="str"/>
      <x:c r="P113" s="26" t="str"/>
      <x:c r="Q113" s="26" t="str"/>
      <x:c r="R113" s="26" t="str"/>
      <x:c r="S113" s="27" t="str"/>
      <x:c r="T113" s="26" t="str"/>
      <x:c r="U113" s="26" t="str"/>
      <x:c r="V113" s="25" t="str"/>
      <x:c r="W113" s="25" t="str"/>
      <x:c r="X113" s="26" t="str"/>
      <x:c r="Y113" s="26" t="str"/>
      <x:c r="Z113" s="26" t="str"/>
      <x:c r="AA113" s="26" t="str"/>
    </x:row>
    <x:row r="114">
      <x:c r="A114" s="25" t="str"/>
      <x:c r="B114" s="26" t="str"/>
      <x:c r="C114" s="26" t="str"/>
      <x:c r="D114" s="26" t="str"/>
      <x:c r="E114" s="26" t="str"/>
      <x:c r="F114" s="26" t="str"/>
      <x:c r="G114" s="26" t="str"/>
      <x:c r="H114" s="26" t="str"/>
      <x:c r="I114" s="26" t="str"/>
      <x:c r="J114" s="26" t="str"/>
      <x:c r="K114" s="26" t="str"/>
      <x:c r="L114" s="26" t="str"/>
      <x:c r="M114" s="25" t="str"/>
      <x:c r="N114" s="25" t="str"/>
      <x:c r="O114" s="26" t="str"/>
      <x:c r="P114" s="26" t="str"/>
      <x:c r="Q114" s="26" t="str"/>
      <x:c r="R114" s="26" t="str"/>
      <x:c r="S114" s="27" t="str"/>
      <x:c r="T114" s="26" t="str"/>
      <x:c r="U114" s="26" t="str"/>
      <x:c r="V114" s="25" t="str"/>
      <x:c r="W114" s="25" t="str"/>
      <x:c r="X114" s="26" t="str"/>
      <x:c r="Y114" s="26" t="str"/>
      <x:c r="Z114" s="26" t="str"/>
      <x:c r="AA114" s="26" t="str"/>
    </x:row>
    <x:row r="115">
      <x:c r="A115" s="25" t="str"/>
      <x:c r="B115" s="26" t="str"/>
      <x:c r="C115" s="26" t="str"/>
      <x:c r="D115" s="26" t="str"/>
      <x:c r="E115" s="26" t="str"/>
      <x:c r="F115" s="26" t="str"/>
      <x:c r="G115" s="26" t="str"/>
      <x:c r="H115" s="26" t="str"/>
      <x:c r="I115" s="26" t="str"/>
      <x:c r="J115" s="26" t="str"/>
      <x:c r="K115" s="26" t="str"/>
      <x:c r="L115" s="26" t="str"/>
      <x:c r="M115" s="25" t="str"/>
      <x:c r="N115" s="25" t="str"/>
      <x:c r="O115" s="26" t="str"/>
      <x:c r="P115" s="26" t="str"/>
      <x:c r="Q115" s="26" t="str"/>
      <x:c r="R115" s="26" t="str"/>
      <x:c r="S115" s="27" t="str"/>
      <x:c r="T115" s="26" t="str"/>
      <x:c r="U115" s="26" t="str"/>
      <x:c r="V115" s="25" t="str"/>
      <x:c r="W115" s="25" t="str"/>
      <x:c r="X115" s="26" t="str"/>
      <x:c r="Y115" s="26" t="str"/>
      <x:c r="Z115" s="26" t="str"/>
      <x:c r="AA115" s="26" t="str"/>
    </x:row>
    <x:row r="116">
      <x:c r="A116" s="25" t="str"/>
      <x:c r="B116" s="26" t="str"/>
      <x:c r="C116" s="26" t="str"/>
      <x:c r="D116" s="26" t="str"/>
      <x:c r="E116" s="26" t="str"/>
      <x:c r="F116" s="26" t="str"/>
      <x:c r="G116" s="26" t="str"/>
      <x:c r="H116" s="26" t="str"/>
      <x:c r="I116" s="26" t="str"/>
      <x:c r="J116" s="26" t="str"/>
      <x:c r="K116" s="26" t="str"/>
      <x:c r="L116" s="26" t="str"/>
      <x:c r="M116" s="25" t="str"/>
      <x:c r="N116" s="25" t="str"/>
      <x:c r="O116" s="26" t="str"/>
      <x:c r="P116" s="26" t="str"/>
      <x:c r="Q116" s="26" t="str"/>
      <x:c r="R116" s="26" t="str"/>
      <x:c r="S116" s="27" t="str"/>
      <x:c r="T116" s="26" t="str"/>
      <x:c r="U116" s="26" t="str"/>
      <x:c r="V116" s="25" t="str"/>
      <x:c r="W116" s="25" t="str"/>
      <x:c r="X116" s="26" t="str"/>
      <x:c r="Y116" s="26" t="str"/>
      <x:c r="Z116" s="26" t="str"/>
      <x:c r="AA116" s="26" t="str"/>
    </x:row>
    <x:row r="117">
      <x:c r="A117" s="25" t="str"/>
      <x:c r="B117" s="26" t="str"/>
      <x:c r="C117" s="26" t="str"/>
      <x:c r="D117" s="26" t="str"/>
      <x:c r="E117" s="26" t="str"/>
      <x:c r="F117" s="26" t="str"/>
      <x:c r="G117" s="26" t="str"/>
      <x:c r="H117" s="26" t="str"/>
      <x:c r="I117" s="26" t="str"/>
      <x:c r="J117" s="26" t="str"/>
      <x:c r="K117" s="26" t="str"/>
      <x:c r="L117" s="26" t="str"/>
      <x:c r="M117" s="25" t="str"/>
      <x:c r="N117" s="25" t="str"/>
      <x:c r="O117" s="26" t="str"/>
      <x:c r="P117" s="26" t="str"/>
      <x:c r="Q117" s="26" t="str"/>
      <x:c r="R117" s="26" t="str"/>
      <x:c r="S117" s="27" t="str"/>
      <x:c r="T117" s="26" t="str"/>
      <x:c r="U117" s="26" t="str"/>
      <x:c r="V117" s="25" t="str"/>
      <x:c r="W117" s="25" t="str"/>
      <x:c r="X117" s="26" t="str"/>
      <x:c r="Y117" s="26" t="str"/>
      <x:c r="Z117" s="26" t="str"/>
      <x:c r="AA117" s="26" t="str"/>
    </x:row>
    <x:row r="118">
      <x:c r="A118" s="25" t="str"/>
      <x:c r="B118" s="26" t="str"/>
      <x:c r="C118" s="26" t="str"/>
      <x:c r="D118" s="26" t="str"/>
      <x:c r="E118" s="26" t="str"/>
      <x:c r="F118" s="26" t="str"/>
      <x:c r="G118" s="26" t="str"/>
      <x:c r="H118" s="26" t="str"/>
      <x:c r="I118" s="26" t="str"/>
      <x:c r="J118" s="26" t="str"/>
      <x:c r="K118" s="26" t="str"/>
      <x:c r="L118" s="26" t="str"/>
      <x:c r="M118" s="25" t="str"/>
      <x:c r="N118" s="25" t="str"/>
      <x:c r="O118" s="26" t="str"/>
      <x:c r="P118" s="26" t="str"/>
      <x:c r="Q118" s="26" t="str"/>
      <x:c r="R118" s="26" t="str"/>
      <x:c r="S118" s="27" t="str"/>
      <x:c r="T118" s="26" t="str"/>
      <x:c r="U118" s="26" t="str"/>
      <x:c r="V118" s="25" t="str"/>
      <x:c r="W118" s="25" t="str"/>
      <x:c r="X118" s="26" t="str"/>
      <x:c r="Y118" s="26" t="str"/>
      <x:c r="Z118" s="26" t="str"/>
      <x:c r="AA118" s="26" t="str"/>
    </x:row>
    <x:row r="119">
      <x:c r="A119" s="25" t="str"/>
      <x:c r="B119" s="26" t="str"/>
      <x:c r="C119" s="26" t="str"/>
      <x:c r="D119" s="26" t="str"/>
      <x:c r="E119" s="26" t="str"/>
      <x:c r="F119" s="26" t="str"/>
      <x:c r="G119" s="26" t="str"/>
      <x:c r="H119" s="26" t="str"/>
      <x:c r="I119" s="26" t="str"/>
      <x:c r="J119" s="26" t="str"/>
      <x:c r="K119" s="26" t="str"/>
      <x:c r="L119" s="26" t="str"/>
      <x:c r="M119" s="25" t="str"/>
      <x:c r="N119" s="25" t="str"/>
      <x:c r="O119" s="26" t="str"/>
      <x:c r="P119" s="26" t="str"/>
      <x:c r="Q119" s="26" t="str"/>
      <x:c r="R119" s="26" t="str"/>
      <x:c r="S119" s="27" t="str"/>
      <x:c r="T119" s="26" t="str"/>
      <x:c r="U119" s="26" t="str"/>
      <x:c r="V119" s="25" t="str"/>
      <x:c r="W119" s="25" t="str"/>
      <x:c r="X119" s="26" t="str"/>
      <x:c r="Y119" s="26" t="str"/>
      <x:c r="Z119" s="26" t="str"/>
      <x:c r="AA119" s="26" t="str"/>
    </x:row>
    <x:row r="120">
      <x:c r="A120" s="25" t="str"/>
      <x:c r="B120" s="26" t="str"/>
      <x:c r="C120" s="26" t="str"/>
      <x:c r="D120" s="26" t="str"/>
      <x:c r="E120" s="26" t="str"/>
      <x:c r="F120" s="26" t="str"/>
      <x:c r="G120" s="26" t="str"/>
      <x:c r="H120" s="26" t="str"/>
      <x:c r="I120" s="26" t="str"/>
      <x:c r="J120" s="26" t="str"/>
      <x:c r="K120" s="26" t="str"/>
      <x:c r="L120" s="26" t="str"/>
      <x:c r="M120" s="25" t="str"/>
      <x:c r="N120" s="25" t="str"/>
      <x:c r="O120" s="26" t="str"/>
      <x:c r="P120" s="26" t="str"/>
      <x:c r="Q120" s="26" t="str"/>
      <x:c r="R120" s="26" t="str"/>
      <x:c r="S120" s="27" t="str"/>
      <x:c r="T120" s="26" t="str"/>
      <x:c r="U120" s="26" t="str"/>
      <x:c r="V120" s="25" t="str"/>
      <x:c r="W120" s="25" t="str"/>
      <x:c r="X120" s="26" t="str"/>
      <x:c r="Y120" s="26" t="str"/>
      <x:c r="Z120" s="26" t="str"/>
      <x:c r="AA120" s="26" t="str"/>
    </x:row>
    <x:row r="121">
      <x:c r="A121" s="25" t="str"/>
      <x:c r="B121" s="26" t="str"/>
      <x:c r="C121" s="26" t="str"/>
      <x:c r="D121" s="26" t="str"/>
      <x:c r="E121" s="26" t="str"/>
      <x:c r="F121" s="26" t="str"/>
      <x:c r="G121" s="26" t="str"/>
      <x:c r="H121" s="26" t="str"/>
      <x:c r="I121" s="26" t="str"/>
      <x:c r="J121" s="26" t="str"/>
      <x:c r="K121" s="26" t="str"/>
      <x:c r="L121" s="26" t="str"/>
      <x:c r="M121" s="25" t="str"/>
      <x:c r="N121" s="25" t="str"/>
      <x:c r="O121" s="26" t="str"/>
      <x:c r="P121" s="26" t="str"/>
      <x:c r="Q121" s="26" t="str"/>
      <x:c r="R121" s="26" t="str"/>
      <x:c r="S121" s="27" t="str"/>
      <x:c r="T121" s="26" t="str"/>
      <x:c r="U121" s="26" t="str"/>
      <x:c r="V121" s="25" t="str"/>
      <x:c r="W121" s="25" t="str"/>
      <x:c r="X121" s="26" t="str"/>
      <x:c r="Y121" s="26" t="str"/>
      <x:c r="Z121" s="26" t="str"/>
      <x:c r="AA121" s="26" t="str"/>
    </x:row>
    <x:row r="122">
      <x:c r="A122" s="25" t="str"/>
      <x:c r="B122" s="26" t="str"/>
      <x:c r="C122" s="26" t="str"/>
      <x:c r="D122" s="26" t="str"/>
      <x:c r="E122" s="26" t="str"/>
      <x:c r="F122" s="26" t="str"/>
      <x:c r="G122" s="26" t="str"/>
      <x:c r="H122" s="26" t="str"/>
      <x:c r="I122" s="26" t="str"/>
      <x:c r="J122" s="26" t="str"/>
      <x:c r="K122" s="26" t="str"/>
      <x:c r="L122" s="26" t="str"/>
      <x:c r="M122" s="25" t="str"/>
      <x:c r="N122" s="25" t="str"/>
      <x:c r="O122" s="26" t="str"/>
      <x:c r="P122" s="26" t="str"/>
      <x:c r="Q122" s="26" t="str"/>
      <x:c r="R122" s="26" t="str"/>
      <x:c r="S122" s="27" t="str"/>
      <x:c r="T122" s="26" t="str"/>
      <x:c r="U122" s="26" t="str"/>
      <x:c r="V122" s="25" t="str"/>
      <x:c r="W122" s="25" t="str"/>
      <x:c r="X122" s="26" t="str"/>
      <x:c r="Y122" s="26" t="str"/>
      <x:c r="Z122" s="26" t="str"/>
      <x:c r="AA122" s="26" t="str"/>
    </x:row>
    <x:row r="123">
      <x:c r="A123" s="25" t="str"/>
      <x:c r="B123" s="26" t="str"/>
      <x:c r="C123" s="26" t="str"/>
      <x:c r="D123" s="26" t="str"/>
      <x:c r="E123" s="26" t="str"/>
      <x:c r="F123" s="26" t="str"/>
      <x:c r="G123" s="26" t="str"/>
      <x:c r="H123" s="26" t="str"/>
      <x:c r="I123" s="26" t="str"/>
      <x:c r="J123" s="26" t="str"/>
      <x:c r="K123" s="26" t="str"/>
      <x:c r="L123" s="26" t="str"/>
      <x:c r="M123" s="25" t="str"/>
      <x:c r="N123" s="25" t="str"/>
      <x:c r="O123" s="26" t="str"/>
      <x:c r="P123" s="26" t="str"/>
      <x:c r="Q123" s="26" t="str"/>
      <x:c r="R123" s="26" t="str"/>
      <x:c r="S123" s="27" t="str"/>
      <x:c r="T123" s="26" t="str"/>
      <x:c r="U123" s="26" t="str"/>
      <x:c r="V123" s="25" t="str"/>
      <x:c r="W123" s="25" t="str"/>
      <x:c r="X123" s="26" t="str"/>
      <x:c r="Y123" s="26" t="str"/>
      <x:c r="Z123" s="26" t="str"/>
      <x:c r="AA123" s="26" t="str"/>
    </x:row>
    <x:row r="124">
      <x:c r="A124" s="25" t="str"/>
      <x:c r="B124" s="26" t="str"/>
      <x:c r="C124" s="26" t="str"/>
      <x:c r="D124" s="26" t="str"/>
      <x:c r="E124" s="26" t="str"/>
      <x:c r="F124" s="26" t="str"/>
      <x:c r="G124" s="26" t="str"/>
      <x:c r="H124" s="26" t="str"/>
      <x:c r="I124" s="26" t="str"/>
      <x:c r="J124" s="26" t="str"/>
      <x:c r="K124" s="26" t="str"/>
      <x:c r="L124" s="26" t="str"/>
      <x:c r="M124" s="25" t="str"/>
      <x:c r="N124" s="25" t="str"/>
      <x:c r="O124" s="26" t="str"/>
      <x:c r="P124" s="26" t="str"/>
      <x:c r="Q124" s="26" t="str"/>
      <x:c r="R124" s="26" t="str"/>
      <x:c r="S124" s="27" t="str"/>
      <x:c r="T124" s="26" t="str"/>
      <x:c r="U124" s="26" t="str"/>
      <x:c r="V124" s="25" t="str"/>
      <x:c r="W124" s="25" t="str"/>
      <x:c r="X124" s="26" t="str"/>
      <x:c r="Y124" s="26" t="str"/>
      <x:c r="Z124" s="26" t="str"/>
      <x:c r="AA124" s="26" t="str"/>
    </x:row>
  </x:sheetData>
  <x:mergeCells>
    <x:mergeCell ref="A1:AA1"/>
    <x:mergeCell ref="A2:AA2"/>
  </x:mergeCells>
  <x:conditionalFormatting sqref="S5:S124">
    <x:cfRule type="cellIs" dxfId="0" priority="1" operator="greaterThanOrEqual">
      <x:formula>80</x:formula>
    </x:cfRule>
    <x:cfRule type="cellIs" dxfId="1" priority="2" operator="between">
      <x:formula>60</x:formula>
      <x:formula>79</x:formula>
    </x:cfRule>
    <x:cfRule type="cellIs" dxfId="2" priority="3" operator="lessThan">
      <x:formula>60</x:formula>
    </x:cfRule>
  </x:conditionalFormatting>
  <x:dataValidations count="4">
    <x:dataValidation type="list" sqref="C5:C124">
      <x:formula1>"Professor post,PhD advert,MSc funding,Student contact,Lab page,Faculty profile,Scholarship,Other"</x:formula1>
    </x:dataValidation>
    <x:dataValidation type="list" sqref="T5:T124">
      <x:formula1>"High,Medium,Low,Watch"</x:formula1>
    </x:dataValidation>
    <x:dataValidation type="list" sqref="U5:U124">
      <x:formula1>"Not contacted,Draft needed,Ready to send,Sent,Follow-up due,Replied,Rejected,Applied,Archived"</x:formula1>
    </x:dataValidation>
    <x:dataValidation type="list" sqref="X5:X124">
      <x:formula1>"Cold email,LinkedIn message,Find email,Read lab page,Tailor CV,Draft SOP,Submit application,Follow up,Archive"</x:formula1>
    </x:dataValidation>
  </x:dataValidations>
  <x:pageMargins left="0.7" right="0.7" top="0.75" bottom="0.75" header="0.3" footer="0.3"/>
  <x:tableParts count="1">
    <x:tablePart xmlns:r="http://schemas.openxmlformats.org/officeDocument/2006/relationships" r:id="R80873b88b0b844e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16" hidden="0" customWidth="1"/>
    <x:col min="4" max="4" width="92" hidden="0" customWidth="1"/>
    <x:col min="5" max="5" width="80" hidden="0" customWidth="1"/>
    <x:col min="6" max="6" width="24" hidden="0" customWidth="1"/>
  </x:cols>
  <x:sheetData>
    <x:row r="1">
      <x:c r="A1" s="7" t="str">
        <x:v>LinkedIn Manual Search Bank</x:v>
      </x:c>
      <x:c r="B1" s="8"/>
      <x:c r="C1" s="8"/>
      <x:c r="D1" s="8"/>
      <x:c r="E1" s="8"/>
      <x:c r="F1" s="9"/>
    </x:row>
    <x:row r="2">
      <x:c r="A2" s="10" t="str">
        <x:v>Paste the Boolean query into LinkedIn or open the generated URL manually. No automated LinkedIn scraping.</x:v>
      </x:c>
      <x:c r="B2" s="11"/>
      <x:c r="C2" s="11"/>
      <x:c r="D2" s="11"/>
      <x:c r="E2" s="11"/>
      <x:c r="F2" s="12"/>
    </x:row>
    <x:row r="4">
      <x:c r="A4" s="17" t="str">
        <x:v>Category</x:v>
      </x:c>
      <x:c r="B4" s="17" t="str">
        <x:v>Search Name</x:v>
      </x:c>
      <x:c r="C4" s="17" t="str">
        <x:v>Cadence</x:v>
      </x:c>
      <x:c r="D4" s="17" t="str">
        <x:v>Boolean Query</x:v>
      </x:c>
      <x:c r="E4" s="17" t="str">
        <x:v>Manual LinkedIn URL</x:v>
      </x:c>
      <x:c r="F4" s="17" t="str">
        <x:v>Notes</x:v>
      </x:c>
    </x:row>
    <x:row r="5">
      <x:c r="A5" s="26" t="str">
        <x:v>Posts</x:v>
      </x:c>
      <x:c r="B5" s="26" t="str">
        <x:v>Medicinal Chemistry PhD/MSc Openings</x:v>
      </x:c>
      <x:c r="C5" s="26" t="str">
        <x:v>Daily</x:v>
      </x:c>
      <x:c r="D5" s="26" t="str">
        <x:v>("PhD position" OR "PhD opportunity" OR "PhD studentship" OR "doctoral position") AND ("medicinal chemistry" OR "drug discovery" OR "chemical biology") AND (funded OR "fully funded" OR studentship)</x:v>
      </x:c>
      <x:c r="E5" s="26" t="str">
        <x:v>https://www.linkedin.com/search/results/content/?keywords=(%22PhD%20position%22%20OR%20%22PhD%20opportunity%22%20OR%20%22PhD%20studentship%22%20OR%20%22doctoral%20position%22)%20AND%20(%22medicinal%20chemistry%22%20OR%20%22drug%20discovery%22%20OR%20%22chemical%20biology%22)%20AND%20(funded%20OR%20%22fully%20funded%22%20OR%20studentship)&amp;origin=GLOBAL_SEARCH_HEADER</x:v>
      </x:c>
      <x:c r="F5" s="26" t="str">
        <x:v>Manual search only</x:v>
      </x:c>
    </x:row>
    <x:row r="6">
      <x:c r="A6" s="26" t="str">
        <x:v>Posts</x:v>
      </x:c>
      <x:c r="B6" s="26" t="str">
        <x:v>Computational Drug Discovery</x:v>
      </x:c>
      <x:c r="C6" s="26" t="str">
        <x:v>Twice weekly</x:v>
      </x:c>
      <x:c r="D6" s="26" t="str">
        <x:v>("PhD position" OR "PhD opportunity" OR "doctoral researcher") AND ("computational drug discovery" OR "computer-aided drug design" OR "molecular docking" OR ADMET)</x:v>
      </x:c>
      <x:c r="E6" s="26" t="str">
        <x:v>https://www.linkedin.com/search/results/content/?keywords=(%22PhD%20position%22%20OR%20%22PhD%20opportunity%22%20OR%20%22doctoral%20researcher%22)%20AND%20(%22computational%20drug%20discovery%22%20OR%20%22computer-aided%20drug%20design%22%20OR%20%22molecular%20docking%22%20OR%20ADMET)&amp;origin=GLOBAL_SEARCH_HEADER</x:v>
      </x:c>
      <x:c r="F6" s="26" t="str">
        <x:v>Manual search only</x:v>
      </x:c>
    </x:row>
    <x:row r="7">
      <x:c r="A7" s="26" t="str">
        <x:v>Posts</x:v>
      </x:c>
      <x:c r="B7" s="26" t="str">
        <x:v>Natural Products and Metabolomics</x:v>
      </x:c>
      <x:c r="C7" s="26" t="str">
        <x:v>Twice weekly</x:v>
      </x:c>
      <x:c r="D7" s="26" t="str">
        <x:v>("PhD position" OR "graduate student" OR "master's student") AND ("natural product chemistry" OR metabolomics OR phytochemistry OR "mass spectrometry")</x:v>
      </x:c>
      <x:c r="E7" s="26" t="str">
        <x:v>https://www.linkedin.com/search/results/content/?keywords=(%22PhD%20position%22%20OR%20%22graduate%20student%22%20OR%20%22master's%20student%22)%20AND%20(%22natural%20product%20chemistry%22%20OR%20metabolomics%20OR%20phytochemistry%20OR%20%22mass%20spectrometry%22)&amp;origin=GLOBAL_SEARCH_HEADER</x:v>
      </x:c>
      <x:c r="F7" s="26" t="str">
        <x:v>Manual search only</x:v>
      </x:c>
    </x:row>
    <x:row r="8">
      <x:c r="A8" s="26" t="str">
        <x:v>Posts</x:v>
      </x:c>
      <x:c r="B8" s="26" t="str">
        <x:v>Neglected Tropical Diseases / Parasitology</x:v>
      </x:c>
      <x:c r="C8" s="26" t="str">
        <x:v>Twice weekly</x:v>
      </x:c>
      <x:c r="D8" s="26" t="str">
        <x:v>("PhD position" OR "doctoral position" OR "graduate student") AND (leishmaniasis OR "neglected tropical disease" OR antiparasitic OR parasitology) AND ("drug discovery" OR "medicinal chemistry")</x:v>
      </x:c>
      <x:c r="E8" s="26" t="str">
        <x:v>https://www.linkedin.com/search/results/content/?keywords=(%22PhD%20position%22%20OR%20%22doctoral%20position%22%20OR%20%22graduate%20student%22)%20AND%20(leishmaniasis%20OR%20%22neglected%20tropical%20disease%22%20OR%20antiparasitic%20OR%20parasitology)%20AND%20(%22drug%20discovery%22%20OR%20%22medicinal%20chemistry%22)&amp;origin=GLOBAL_SEARCH_HEADER</x:v>
      </x:c>
      <x:c r="F8" s="26" t="str">
        <x:v>Manual search only</x:v>
      </x:c>
    </x:row>
    <x:row r="9">
      <x:c r="A9" s="26" t="str">
        <x:v>Posts</x:v>
      </x:c>
      <x:c r="B9" s="26" t="str">
        <x:v>Health Informatics / Digital Health</x:v>
      </x:c>
      <x:c r="C9" s="26" t="str">
        <x:v>Daily</x:v>
      </x:c>
      <x:c r="D9" s="26" t="str">
        <x:v>("PhD position" OR "MSc" OR "master's student" OR "graduate student") AND ("health informatics" OR "digital health" OR "clinical informatics" OR "public health informatics")</x:v>
      </x:c>
      <x:c r="E9" s="26" t="str">
        <x:v>https://www.linkedin.com/search/results/content/?keywords=(%22PhD%20position%22%20OR%20%22MSc%22%20OR%20%22master's%20student%22%20OR%20%22graduate%20student%22)%20AND%20(%22health%20informatics%22%20OR%20%22digital%20health%22%20OR%20%22clinical%20informatics%22%20OR%20%22public%20health%20informatics%22)&amp;origin=GLOBAL_SEARCH_HEADER</x:v>
      </x:c>
      <x:c r="F9" s="26" t="str">
        <x:v>Manual search only</x:v>
      </x:c>
    </x:row>
    <x:row r="10">
      <x:c r="A10" s="26" t="str">
        <x:v>Posts</x:v>
      </x:c>
      <x:c r="B10" s="26" t="str">
        <x:v>AI for Health / Health Data Engineering</x:v>
      </x:c>
      <x:c r="C10" s="26" t="str">
        <x:v>Twice weekly</x:v>
      </x:c>
      <x:c r="D10" s="26" t="str">
        <x:v>("PhD position" OR "graduate student" OR "research assistant") AND ("AI for health" OR "machine learning for healthcare" OR "health data" OR "data engineering") AND (healthcare OR pharmacy OR "supply chain")</x:v>
      </x:c>
      <x:c r="E10" s="26" t="str">
        <x:v>https://www.linkedin.com/search/results/content/?keywords=(%22PhD%20position%22%20OR%20%22graduate%20student%22%20OR%20%22research%20assistant%22)%20AND%20(%22AI%20for%20health%22%20OR%20%22machine%20learning%20for%20healthcare%22%20OR%20%22health%20data%22%20OR%20%22data%20engineering%22)%20AND%20(healthcare%20OR%20pharmacy%20OR%20%22supply%20chain%22)&amp;origin=GLOBAL_SEARCH_HEADER</x:v>
      </x:c>
      <x:c r="F10" s="26" t="str">
        <x:v>Manual search only</x:v>
      </x:c>
    </x:row>
    <x:row r="11">
      <x:c r="A11" s="26" t="str">
        <x:v>Posts</x:v>
      </x:c>
      <x:c r="B11" s="26" t="str">
        <x:v>Professor Hiring Student Posts</x:v>
      </x:c>
      <x:c r="C11" s="26" t="str">
        <x:v>Daily</x:v>
      </x:c>
      <x:c r="D11" s="26" t="str">
        <x:v>("I am looking for" OR "we are looking for" OR "join my lab" OR "join our lab") AND ("PhD student" OR "master's student" OR "graduate student") AND ("drug discovery" OR "medicinal chemistry" OR "health informatics" OR "digital health")</x:v>
      </x:c>
      <x:c r="E11" s="26" t="str">
        <x:v>https://www.linkedin.com/search/results/content/?keywords=(%22I%20am%20looking%20for%22%20OR%20%22we%20are%20looking%20for%22%20OR%20%22join%20my%20lab%22%20OR%20%22join%20our%20lab%22)%20AND%20(%22PhD%20student%22%20OR%20%22master's%20student%22%20OR%20%22graduate%20student%22)%20AND%20(%22drug%20discovery%22%20OR%20%22medicinal%20chemistry%22%20OR%20%22health%20informatics%22%20OR%20%22digital%20health%22)&amp;origin=GLOBAL_SEARCH_HEADER</x:v>
      </x:c>
      <x:c r="F11" s="26" t="str">
        <x:v>Manual search only</x:v>
      </x:c>
    </x:row>
    <x:row r="12">
      <x:c r="A12" s="26" t="str">
        <x:v>People</x:v>
      </x:c>
      <x:c r="B12" s="26" t="str">
        <x:v>Medicinal Chemistry Professors</x:v>
      </x:c>
      <x:c r="C12" s="26" t="str">
        <x:v>Daily</x:v>
      </x:c>
      <x:c r="D12" s="26" t="str">
        <x:v>("Professor of Medicinal Chemistry" OR "Associate Professor of Medicinal Chemistry" OR "Assistant Professor of Medicinal Chemistry" OR "Medicinal Chemistry Professor")</x:v>
      </x:c>
      <x:c r="E12" s="26" t="str">
        <x:v>https://www.linkedin.com/search/results/people/?keywords=(%22Professor%20of%20Medicinal%20Chemistry%22%20OR%20%22Associate%20Professor%20of%20Medicinal%20Chemistry%22%20OR%20%22Assistant%20Professor%20of%20Medicinal%20Chemistry%22%20OR%20%22Medicinal%20Chemistry%20Professor%22)&amp;origin=GLOBAL_SEARCH_HEADER</x:v>
      </x:c>
      <x:c r="F12" s="26" t="str">
        <x:v>Manual search only</x:v>
      </x:c>
    </x:row>
    <x:row r="13">
      <x:c r="A13" s="26" t="str">
        <x:v>People</x:v>
      </x:c>
      <x:c r="B13" s="26" t="str">
        <x:v>Computational Chemistry / Molecular Modelling Professors</x:v>
      </x:c>
      <x:c r="C13" s="26" t="str">
        <x:v>Twice weekly</x:v>
      </x:c>
      <x:c r="D13" s="26" t="str">
        <x:v>("Professor" OR "Associate Professor" OR "Assistant Professor") AND ("computational chemistry" OR "molecular modelling" OR "molecular dynamics" OR "computer-aided drug design")</x:v>
      </x:c>
      <x:c r="E13" s="26" t="str">
        <x:v>https://www.linkedin.com/search/results/people/?keywords=(%22Professor%22%20OR%20%22Associate%20Professor%22%20OR%20%22Assistant%20Professor%22)%20AND%20(%22computational%20chemistry%22%20OR%20%22molecular%20modelling%22%20OR%20%22molecular%20dynamics%22%20OR%20%22computer-aided%20drug%20design%22)&amp;origin=GLOBAL_SEARCH_HEADER</x:v>
      </x:c>
      <x:c r="F13" s="26" t="str">
        <x:v>Manual search only</x:v>
      </x:c>
    </x:row>
    <x:row r="14">
      <x:c r="A14" s="26" t="str">
        <x:v>People</x:v>
      </x:c>
      <x:c r="B14" s="26" t="str">
        <x:v>Health Informatics Professors</x:v>
      </x:c>
      <x:c r="C14" s="26" t="str">
        <x:v>Daily</x:v>
      </x:c>
      <x:c r="D14" s="26" t="str">
        <x:v>("Professor" OR "Associate Professor" OR "Assistant Professor") AND ("health informatics" OR "clinical informatics" OR "public health informatics" OR "digital health")</x:v>
      </x:c>
      <x:c r="E14" s="26" t="str">
        <x:v>https://www.linkedin.com/search/results/people/?keywords=(%22Professor%22%20OR%20%22Associate%20Professor%22%20OR%20%22Assistant%20Professor%22)%20AND%20(%22health%20informatics%22%20OR%20%22clinical%20informatics%22%20OR%20%22public%20health%20informatics%22%20OR%20%22digital%20health%22)&amp;origin=GLOBAL_SEARCH_HEADER</x:v>
      </x:c>
      <x:c r="F14" s="26" t="str">
        <x:v>Manual search only</x:v>
      </x:c>
    </x:row>
    <x:row r="15">
      <x:c r="A15" s="26" t="str">
        <x:v>People</x:v>
      </x:c>
      <x:c r="B15" s="26" t="str">
        <x:v>Current PhD Students - Drug Discovery</x:v>
      </x:c>
      <x:c r="C15" s="26" t="str">
        <x:v>Daily</x:v>
      </x:c>
      <x:c r="D15" s="26" t="str">
        <x:v>("PhD student" OR "Doctoral student" OR "DPhil student") AND ("medicinal chemistry" OR "drug discovery" OR "chemical biology" OR "computational chemistry")</x:v>
      </x:c>
      <x:c r="E15" s="26" t="str">
        <x:v>https://www.linkedin.com/search/results/people/?keywords=(%22PhD%20student%22%20OR%20%22Doctoral%20student%22%20OR%20%22DPhil%20student%22)%20AND%20(%22medicinal%20chemistry%22%20OR%20%22drug%20discovery%22%20OR%20%22chemical%20biology%22%20OR%20%22computational%20chemistry%22)&amp;origin=GLOBAL_SEARCH_HEADER</x:v>
      </x:c>
      <x:c r="F15" s="26" t="str">
        <x:v>Manual search only</x:v>
      </x:c>
    </x:row>
    <x:row r="16">
      <x:c r="A16" s="26" t="str">
        <x:v>People</x:v>
      </x:c>
      <x:c r="B16" s="26" t="str">
        <x:v>Current PhD Students - Health Informatics</x:v>
      </x:c>
      <x:c r="C16" s="26" t="str">
        <x:v>Daily</x:v>
      </x:c>
      <x:c r="D16" s="26" t="str">
        <x:v>("PhD student" OR "Doctoral student") AND ("health informatics" OR "digital health" OR "AI for health" OR "biomedical informatics")</x:v>
      </x:c>
      <x:c r="E16" s="26" t="str">
        <x:v>https://www.linkedin.com/search/results/people/?keywords=(%22PhD%20student%22%20OR%20%22Doctoral%20student%22)%20AND%20(%22health%20informatics%22%20OR%20%22digital%20health%22%20OR%20%22AI%20for%20health%22%20OR%20%22biomedical%20informatics%22)&amp;origin=GLOBAL_SEARCH_HEADER</x:v>
      </x:c>
      <x:c r="F16" s="26" t="str">
        <x:v>Manual search only</x:v>
      </x:c>
    </x:row>
    <x:row r="17">
      <x:c r="A17" s="26" t="str">
        <x:v>Posts</x:v>
      </x:c>
      <x:c r="B17" s="26" t="str">
        <x:v>University of Oxford - Drug Discovery</x:v>
      </x:c>
      <x:c r="C17" s="26" t="str">
        <x:v>Twice weekly</x:v>
      </x:c>
      <x:c r="D17" s="26" t="str">
        <x:v>("University of Oxford") AND ("PhD position" OR "DPhil" OR "PhD studentship" OR "doctoral" OR "graduate student") AND ("medicinal chemistry" OR "computational chemistry" OR "chemical biology" OR "drug discovery" OR "pharmaceutical sciences")</x:v>
      </x:c>
      <x:c r="E17" s="26" t="str">
        <x:v>https://www.linkedin.com/search/results/content/?keywords=(%22University%20of%20Oxford%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17" s="26" t="str">
        <x:v>Manual search only</x:v>
      </x:c>
    </x:row>
    <x:row r="18">
      <x:c r="A18" s="26" t="str">
        <x:v>Posts</x:v>
      </x:c>
      <x:c r="B18" s="26" t="str">
        <x:v>University of Oxford - Health Informatics</x:v>
      </x:c>
      <x:c r="C18" s="26" t="str">
        <x:v>Twice weekly</x:v>
      </x:c>
      <x:c r="D18" s="26" t="str">
        <x:v>("University of Oxford") AND ("health informatics" OR "digital health" OR "AI for health" OR "health data" OR "medical AI" OR "biomedical informatics") AND ("PhD" OR "DPhil" OR "MSc" OR "MPhil" OR "doctoral")</x:v>
      </x:c>
      <x:c r="E18" s="26" t="str">
        <x:v>https://www.linkedin.com/search/results/content/?keywords=(%22University%20of%20Oxford%22)%20AND%20(%22health%20informatics%22%20OR%20%22digital%20health%22%20OR%20%22AI%20for%20health%22%20OR%20%22health%20data%22%20OR%20%22medical%20AI%22%20OR%20%22biomedical%20informatics%22)%20AND%20(%22PhD%22%20OR%20%22DPhil%22%20OR%20%22MSc%22%20OR%20%22MPhil%22%20OR%20%22doctoral%22)&amp;origin=GLOBAL_SEARCH_HEADER</x:v>
      </x:c>
      <x:c r="F18" s="26" t="str">
        <x:v>Manual search only</x:v>
      </x:c>
    </x:row>
    <x:row r="19">
      <x:c r="A19" s="26" t="str">
        <x:v>Posts</x:v>
      </x:c>
      <x:c r="B19" s="26" t="str">
        <x:v>University of Cambridge - Drug Discovery</x:v>
      </x:c>
      <x:c r="C19" s="26" t="str">
        <x:v>Twice weekly</x:v>
      </x:c>
      <x:c r="D19" s="26" t="str">
        <x:v>("University of Cambridge") AND ("PhD position" OR "DPhil" OR "PhD studentship" OR "doctoral" OR "graduate student") AND ("medicinal chemistry" OR "computational chemistry" OR "chemical biology" OR "drug discovery" OR "pharmaceutical sciences")</x:v>
      </x:c>
      <x:c r="E19" s="26" t="str">
        <x:v>https://www.linkedin.com/search/results/content/?keywords=(%22University%20of%20Cambridge%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19" s="26" t="str">
        <x:v>Manual search only</x:v>
      </x:c>
    </x:row>
    <x:row r="20">
      <x:c r="A20" s="26" t="str">
        <x:v>Posts</x:v>
      </x:c>
      <x:c r="B20" s="26" t="str">
        <x:v>University of Cambridge - Health Informatics</x:v>
      </x:c>
      <x:c r="C20" s="26" t="str">
        <x:v>Twice weekly</x:v>
      </x:c>
      <x:c r="D20" s="26" t="str">
        <x:v>("University of Cambridge") AND ("health informatics" OR "digital health" OR "AI for health" OR "health data" OR "medical AI" OR "biomedical informatics") AND ("PhD" OR "DPhil" OR "MSc" OR "MPhil" OR "doctoral")</x:v>
      </x:c>
      <x:c r="E20" s="26" t="str">
        <x:v>https://www.linkedin.com/search/results/content/?keywords=(%22University%20of%20Cambridge%22)%20AND%20(%22health%20informatics%22%20OR%20%22digital%20health%22%20OR%20%22AI%20for%20health%22%20OR%20%22health%20data%22%20OR%20%22medical%20AI%22%20OR%20%22biomedical%20informatics%22)%20AND%20(%22PhD%22%20OR%20%22DPhil%22%20OR%20%22MSc%22%20OR%20%22MPhil%22%20OR%20%22doctoral%22)&amp;origin=GLOBAL_SEARCH_HEADER</x:v>
      </x:c>
      <x:c r="F20" s="26" t="str">
        <x:v>Manual search only</x:v>
      </x:c>
    </x:row>
    <x:row r="21">
      <x:c r="A21" s="26" t="str">
        <x:v>Posts</x:v>
      </x:c>
      <x:c r="B21" s="26" t="str">
        <x:v>University of Toronto - Drug Discovery</x:v>
      </x:c>
      <x:c r="C21" s="26" t="str">
        <x:v>Twice weekly</x:v>
      </x:c>
      <x:c r="D21" s="26" t="str">
        <x:v>("University of Toronto") AND ("PhD position" OR "DPhil" OR "PhD studentship" OR "doctoral" OR "graduate student") AND ("medicinal chemistry" OR "computational chemistry" OR "chemical biology" OR "drug discovery" OR "pharmaceutical sciences")</x:v>
      </x:c>
      <x:c r="E21" s="26" t="str">
        <x:v>https://www.linkedin.com/search/results/content/?keywords=(%22University%20of%20Toronto%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21" s="26" t="str">
        <x:v>Manual search only</x:v>
      </x:c>
    </x:row>
    <x:row r="22">
      <x:c r="A22" s="26" t="str">
        <x:v>Posts</x:v>
      </x:c>
      <x:c r="B22" s="26" t="str">
        <x:v>University of Toronto - Health Informatics</x:v>
      </x:c>
      <x:c r="C22" s="26" t="str">
        <x:v>Twice weekly</x:v>
      </x:c>
      <x:c r="D22" s="26" t="str">
        <x:v>("University of Toronto") AND ("health informatics" OR "digital health" OR "AI for health" OR "health data" OR "medical AI" OR "biomedical informatics") AND ("PhD" OR "DPhil" OR "MSc" OR "MPhil" OR "doctoral")</x:v>
      </x:c>
      <x:c r="E22" s="26" t="str">
        <x:v>https://www.linkedin.com/search/results/content/?keywords=(%22University%20of%20Toronto%22)%20AND%20(%22health%20informatics%22%20OR%20%22digital%20health%22%20OR%20%22AI%20for%20health%22%20OR%20%22health%20data%22%20OR%20%22medical%20AI%22%20OR%20%22biomedical%20informatics%22)%20AND%20(%22PhD%22%20OR%20%22DPhil%22%20OR%20%22MSc%22%20OR%20%22MPhil%22%20OR%20%22doctoral%22)&amp;origin=GLOBAL_SEARCH_HEADER</x:v>
      </x:c>
      <x:c r="F22" s="26" t="str">
        <x:v>Manual search only</x:v>
      </x:c>
    </x:row>
    <x:row r="23">
      <x:c r="A23" s="26" t="str">
        <x:v>Posts</x:v>
      </x:c>
      <x:c r="B23" s="26" t="str">
        <x:v>University of Michigan - Drug Discovery</x:v>
      </x:c>
      <x:c r="C23" s="26" t="str">
        <x:v>Twice weekly</x:v>
      </x:c>
      <x:c r="D23" s="26" t="str">
        <x:v>("University of Michigan") AND ("PhD position" OR "DPhil" OR "PhD studentship" OR "doctoral" OR "graduate student") AND ("medicinal chemistry" OR "computational chemistry" OR "chemical biology" OR "drug discovery" OR "pharmaceutical sciences")</x:v>
      </x:c>
      <x:c r="E23" s="26" t="str">
        <x:v>https://www.linkedin.com/search/results/content/?keywords=(%22University%20of%20Michigan%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23" s="26" t="str">
        <x:v>Manual search only</x:v>
      </x:c>
    </x:row>
    <x:row r="24">
      <x:c r="A24" s="26" t="str">
        <x:v>Posts</x:v>
      </x:c>
      <x:c r="B24" s="26" t="str">
        <x:v>University of Michigan - Health Informatics</x:v>
      </x:c>
      <x:c r="C24" s="26" t="str">
        <x:v>Twice weekly</x:v>
      </x:c>
      <x:c r="D24" s="26" t="str">
        <x:v>("University of Michigan") AND ("health informatics" OR "digital health" OR "AI for health" OR "health data" OR "medical AI" OR "biomedical informatics") AND ("PhD" OR "DPhil" OR "MSc" OR "MPhil" OR "doctoral")</x:v>
      </x:c>
      <x:c r="E24" s="26" t="str">
        <x:v>https://www.linkedin.com/search/results/content/?keywords=(%22University%20of%20Michigan%22)%20AND%20(%22health%20informatics%22%20OR%20%22digital%20health%22%20OR%20%22AI%20for%20health%22%20OR%20%22health%20data%22%20OR%20%22medical%20AI%22%20OR%20%22biomedical%20informatics%22)%20AND%20(%22PhD%22%20OR%20%22DPhil%22%20OR%20%22MSc%22%20OR%20%22MPhil%22%20OR%20%22doctoral%22)&amp;origin=GLOBAL_SEARCH_HEADER</x:v>
      </x:c>
      <x:c r="F24" s="26" t="str">
        <x:v>Manual search only</x:v>
      </x:c>
    </x:row>
    <x:row r="25">
      <x:c r="A25" s="26" t="str">
        <x:v>Posts</x:v>
      </x:c>
      <x:c r="B25" s="26" t="str">
        <x:v>Seoul National University - Drug Discovery</x:v>
      </x:c>
      <x:c r="C25" s="26" t="str">
        <x:v>Twice weekly</x:v>
      </x:c>
      <x:c r="D25" s="26" t="str">
        <x:v>("Seoul National University") AND ("PhD position" OR "DPhil" OR "PhD studentship" OR "doctoral" OR "graduate student") AND ("medicinal chemistry" OR "computational chemistry" OR "chemical biology" OR "drug discovery" OR "pharmaceutical sciences")</x:v>
      </x:c>
      <x:c r="E25" s="26" t="str">
        <x:v>https://www.linkedin.com/search/results/content/?keywords=(%22Seoul%20National%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25" s="26" t="str">
        <x:v>Manual search only</x:v>
      </x:c>
    </x:row>
    <x:row r="26">
      <x:c r="A26" s="26" t="str">
        <x:v>Posts</x:v>
      </x:c>
      <x:c r="B26" s="26" t="str">
        <x:v>Seoul National University - Health Informatics</x:v>
      </x:c>
      <x:c r="C26" s="26" t="str">
        <x:v>Twice weekly</x:v>
      </x:c>
      <x:c r="D26" s="26" t="str">
        <x:v>("Seoul National University") AND ("health informatics" OR "digital health" OR "AI for health" OR "health data" OR "medical AI" OR "biomedical informatics") AND ("PhD" OR "DPhil" OR "MSc" OR "MPhil" OR "doctoral")</x:v>
      </x:c>
      <x:c r="E26" s="26" t="str">
        <x:v>https://www.linkedin.com/search/results/content/?keywords=(%22Seoul%20National%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26" s="26" t="str">
        <x:v>Manual search only</x:v>
      </x:c>
    </x:row>
    <x:row r="27">
      <x:c r="A27" s="26" t="str">
        <x:v>Posts</x:v>
      </x:c>
      <x:c r="B27" s="26" t="str">
        <x:v>KAIST - Drug Discovery</x:v>
      </x:c>
      <x:c r="C27" s="26" t="str">
        <x:v>Twice weekly</x:v>
      </x:c>
      <x:c r="D27" s="26" t="str">
        <x:v>("KAIST") AND ("PhD position" OR "DPhil" OR "PhD studentship" OR "doctoral" OR "graduate student") AND ("medicinal chemistry" OR "computational chemistry" OR "chemical biology" OR "drug discovery" OR "pharmaceutical sciences")</x:v>
      </x:c>
      <x:c r="E27" s="26" t="str">
        <x:v>https://www.linkedin.com/search/results/content/?keywords=(%22KAIST%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27" s="26" t="str">
        <x:v>Manual search only</x:v>
      </x:c>
    </x:row>
    <x:row r="28">
      <x:c r="A28" s="26" t="str">
        <x:v>Posts</x:v>
      </x:c>
      <x:c r="B28" s="26" t="str">
        <x:v>KAIST - Health Informatics</x:v>
      </x:c>
      <x:c r="C28" s="26" t="str">
        <x:v>Twice weekly</x:v>
      </x:c>
      <x:c r="D28" s="26" t="str">
        <x:v>("KAIST") AND ("health informatics" OR "digital health" OR "AI for health" OR "health data" OR "medical AI" OR "biomedical informatics") AND ("PhD" OR "DPhil" OR "MSc" OR "MPhil" OR "doctoral")</x:v>
      </x:c>
      <x:c r="E28" s="26" t="str">
        <x:v>https://www.linkedin.com/search/results/content/?keywords=(%22KAIST%22)%20AND%20(%22health%20informatics%22%20OR%20%22digital%20health%22%20OR%20%22AI%20for%20health%22%20OR%20%22health%20data%22%20OR%20%22medical%20AI%22%20OR%20%22biomedical%20informatics%22)%20AND%20(%22PhD%22%20OR%20%22DPhil%22%20OR%20%22MSc%22%20OR%20%22MPhil%22%20OR%20%22doctoral%22)&amp;origin=GLOBAL_SEARCH_HEADER</x:v>
      </x:c>
      <x:c r="F28" s="26" t="str">
        <x:v>Manual search only</x:v>
      </x:c>
    </x:row>
    <x:row r="29">
      <x:c r="A29" s="26" t="str">
        <x:v>Posts</x:v>
      </x:c>
      <x:c r="B29" s="26" t="str">
        <x:v>Yonsei University - Drug Discovery</x:v>
      </x:c>
      <x:c r="C29" s="26" t="str">
        <x:v>Twice weekly</x:v>
      </x:c>
      <x:c r="D29" s="26" t="str">
        <x:v>("Yonsei University") AND ("PhD position" OR "DPhil" OR "PhD studentship" OR "doctoral" OR "graduate student") AND ("medicinal chemistry" OR "computational chemistry" OR "chemical biology" OR "drug discovery" OR "pharmaceutical sciences")</x:v>
      </x:c>
      <x:c r="E29" s="26" t="str">
        <x:v>https://www.linkedin.com/search/results/content/?keywords=(%22Yonsei%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29" s="26" t="str">
        <x:v>Manual search only</x:v>
      </x:c>
    </x:row>
    <x:row r="30">
      <x:c r="A30" s="26" t="str">
        <x:v>Posts</x:v>
      </x:c>
      <x:c r="B30" s="26" t="str">
        <x:v>Yonsei University - Health Informatics</x:v>
      </x:c>
      <x:c r="C30" s="26" t="str">
        <x:v>Twice weekly</x:v>
      </x:c>
      <x:c r="D30" s="26" t="str">
        <x:v>("Yonsei University") AND ("health informatics" OR "digital health" OR "AI for health" OR "health data" OR "medical AI" OR "biomedical informatics") AND ("PhD" OR "DPhil" OR "MSc" OR "MPhil" OR "doctoral")</x:v>
      </x:c>
      <x:c r="E30" s="26" t="str">
        <x:v>https://www.linkedin.com/search/results/content/?keywords=(%22Yonsei%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30" s="26" t="str">
        <x:v>Manual search only</x:v>
      </x:c>
    </x:row>
    <x:row r="31">
      <x:c r="A31" s="26" t="str">
        <x:v>Posts</x:v>
      </x:c>
      <x:c r="B31" s="26" t="str">
        <x:v>Korea University - Drug Discovery</x:v>
      </x:c>
      <x:c r="C31" s="26" t="str">
        <x:v>Twice weekly</x:v>
      </x:c>
      <x:c r="D31" s="26" t="str">
        <x:v>("Korea University") AND ("PhD position" OR "DPhil" OR "PhD studentship" OR "doctoral" OR "graduate student") AND ("medicinal chemistry" OR "computational chemistry" OR "chemical biology" OR "drug discovery" OR "pharmaceutical sciences")</x:v>
      </x:c>
      <x:c r="E31" s="26" t="str">
        <x:v>https://www.linkedin.com/search/results/content/?keywords=(%22Korea%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31" s="26" t="str">
        <x:v>Manual search only</x:v>
      </x:c>
    </x:row>
    <x:row r="32">
      <x:c r="A32" s="26" t="str">
        <x:v>Posts</x:v>
      </x:c>
      <x:c r="B32" s="26" t="str">
        <x:v>Korea University - Health Informatics</x:v>
      </x:c>
      <x:c r="C32" s="26" t="str">
        <x:v>Twice weekly</x:v>
      </x:c>
      <x:c r="D32" s="26" t="str">
        <x:v>("Korea University") AND ("health informatics" OR "digital health" OR "AI for health" OR "health data" OR "medical AI" OR "biomedical informatics") AND ("PhD" OR "DPhil" OR "MSc" OR "MPhil" OR "doctoral")</x:v>
      </x:c>
      <x:c r="E32" s="26" t="str">
        <x:v>https://www.linkedin.com/search/results/content/?keywords=(%22Korea%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32" s="26" t="str">
        <x:v>Manual search only</x:v>
      </x:c>
    </x:row>
    <x:row r="33">
      <x:c r="A33" s="26" t="str">
        <x:v>Posts</x:v>
      </x:c>
      <x:c r="B33" s="26" t="str">
        <x:v>POSTECH - Drug Discovery</x:v>
      </x:c>
      <x:c r="C33" s="26" t="str">
        <x:v>Twice weekly</x:v>
      </x:c>
      <x:c r="D33" s="26" t="str">
        <x:v>("POSTECH") AND ("PhD position" OR "DPhil" OR "PhD studentship" OR "doctoral" OR "graduate student") AND ("medicinal chemistry" OR "computational chemistry" OR "chemical biology" OR "drug discovery" OR "pharmaceutical sciences")</x:v>
      </x:c>
      <x:c r="E33" s="26" t="str">
        <x:v>https://www.linkedin.com/search/results/content/?keywords=(%22POSTECH%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33" s="26" t="str">
        <x:v>Manual search only</x:v>
      </x:c>
    </x:row>
    <x:row r="34">
      <x:c r="A34" s="26" t="str">
        <x:v>Posts</x:v>
      </x:c>
      <x:c r="B34" s="26" t="str">
        <x:v>POSTECH - Health Informatics</x:v>
      </x:c>
      <x:c r="C34" s="26" t="str">
        <x:v>Twice weekly</x:v>
      </x:c>
      <x:c r="D34" s="26" t="str">
        <x:v>("POSTECH") AND ("health informatics" OR "digital health" OR "AI for health" OR "health data" OR "medical AI" OR "biomedical informatics") AND ("PhD" OR "DPhil" OR "MSc" OR "MPhil" OR "doctoral")</x:v>
      </x:c>
      <x:c r="E34" s="26" t="str">
        <x:v>https://www.linkedin.com/search/results/content/?keywords=(%22POSTECH%22)%20AND%20(%22health%20informatics%22%20OR%20%22digital%20health%22%20OR%20%22AI%20for%20health%22%20OR%20%22health%20data%22%20OR%20%22medical%20AI%22%20OR%20%22biomedical%20informatics%22)%20AND%20(%22PhD%22%20OR%20%22DPhil%22%20OR%20%22MSc%22%20OR%20%22MPhil%22%20OR%20%22doctoral%22)&amp;origin=GLOBAL_SEARCH_HEADER</x:v>
      </x:c>
      <x:c r="F34" s="26" t="str">
        <x:v>Manual search only</x:v>
      </x:c>
    </x:row>
    <x:row r="35">
      <x:c r="A35" s="26" t="str">
        <x:v>Posts</x:v>
      </x:c>
      <x:c r="B35" s="26" t="str">
        <x:v>Sungkyunkwan University - Drug Discovery</x:v>
      </x:c>
      <x:c r="C35" s="26" t="str">
        <x:v>Twice weekly</x:v>
      </x:c>
      <x:c r="D35" s="26" t="str">
        <x:v>("Sungkyunkwan University") AND ("PhD position" OR "DPhil" OR "PhD studentship" OR "doctoral" OR "graduate student") AND ("medicinal chemistry" OR "computational chemistry" OR "chemical biology" OR "drug discovery" OR "pharmaceutical sciences")</x:v>
      </x:c>
      <x:c r="E35" s="26" t="str">
        <x:v>https://www.linkedin.com/search/results/content/?keywords=(%22Sungkyunkwan%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35" s="26" t="str">
        <x:v>Manual search only</x:v>
      </x:c>
    </x:row>
    <x:row r="36">
      <x:c r="A36" s="26" t="str">
        <x:v>Posts</x:v>
      </x:c>
      <x:c r="B36" s="26" t="str">
        <x:v>Sungkyunkwan University - Health Informatics</x:v>
      </x:c>
      <x:c r="C36" s="26" t="str">
        <x:v>Twice weekly</x:v>
      </x:c>
      <x:c r="D36" s="26" t="str">
        <x:v>("Sungkyunkwan University") AND ("health informatics" OR "digital health" OR "AI for health" OR "health data" OR "medical AI" OR "biomedical informatics") AND ("PhD" OR "DPhil" OR "MSc" OR "MPhil" OR "doctoral")</x:v>
      </x:c>
      <x:c r="E36" s="26" t="str">
        <x:v>https://www.linkedin.com/search/results/content/?keywords=(%22Sungkyunkwan%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36" s="26" t="str">
        <x:v>Manual search only</x:v>
      </x:c>
    </x:row>
    <x:row r="37">
      <x:c r="A37" s="26" t="str">
        <x:v>Posts</x:v>
      </x:c>
      <x:c r="B37" s="26" t="str">
        <x:v>Hanyang University - Drug Discovery</x:v>
      </x:c>
      <x:c r="C37" s="26" t="str">
        <x:v>Twice weekly</x:v>
      </x:c>
      <x:c r="D37" s="26" t="str">
        <x:v>("Hanyang University") AND ("PhD position" OR "DPhil" OR "PhD studentship" OR "doctoral" OR "graduate student") AND ("medicinal chemistry" OR "computational chemistry" OR "chemical biology" OR "drug discovery" OR "pharmaceutical sciences")</x:v>
      </x:c>
      <x:c r="E37" s="26" t="str">
        <x:v>https://www.linkedin.com/search/results/content/?keywords=(%22Hanyang%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37" s="26" t="str">
        <x:v>Manual search only</x:v>
      </x:c>
    </x:row>
    <x:row r="38">
      <x:c r="A38" s="26" t="str">
        <x:v>Posts</x:v>
      </x:c>
      <x:c r="B38" s="26" t="str">
        <x:v>Hanyang University - Health Informatics</x:v>
      </x:c>
      <x:c r="C38" s="26" t="str">
        <x:v>Twice weekly</x:v>
      </x:c>
      <x:c r="D38" s="26" t="str">
        <x:v>("Hanyang University") AND ("health informatics" OR "digital health" OR "AI for health" OR "health data" OR "medical AI" OR "biomedical informatics") AND ("PhD" OR "DPhil" OR "MSc" OR "MPhil" OR "doctoral")</x:v>
      </x:c>
      <x:c r="E38" s="26" t="str">
        <x:v>https://www.linkedin.com/search/results/content/?keywords=(%22Hanyang%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38" s="26" t="str">
        <x:v>Manual search only</x:v>
      </x:c>
    </x:row>
    <x:row r="39">
      <x:c r="A39" s="26" t="str">
        <x:v>Posts</x:v>
      </x:c>
      <x:c r="B39" s="26" t="str">
        <x:v>Ulsan National Institute of Science and Technology - Drug Discovery</x:v>
      </x:c>
      <x:c r="C39" s="26" t="str">
        <x:v>Twice weekly</x:v>
      </x:c>
      <x:c r="D39" s="26" t="str">
        <x:v>("Ulsan National Institute of Science and Technology") AND ("PhD position" OR "DPhil" OR "PhD studentship" OR "doctoral" OR "graduate student") AND ("medicinal chemistry" OR "computational chemistry" OR "chemical biology" OR "drug discovery" OR "pharmaceutical sciences")</x:v>
      </x:c>
      <x:c r="E39" s="26" t="str">
        <x:v>https://www.linkedin.com/search/results/content/?keywords=(%22Ulsan%20National%20Institute%20of%20Science%20and%20Technolog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39" s="26" t="str">
        <x:v>Manual search only</x:v>
      </x:c>
    </x:row>
    <x:row r="40">
      <x:c r="A40" s="26" t="str">
        <x:v>Posts</x:v>
      </x:c>
      <x:c r="B40" s="26" t="str">
        <x:v>Ulsan National Institute of Science and Technology - Health Informatics</x:v>
      </x:c>
      <x:c r="C40" s="26" t="str">
        <x:v>Twice weekly</x:v>
      </x:c>
      <x:c r="D40" s="26" t="str">
        <x:v>("Ulsan National Institute of Science and Technology") AND ("health informatics" OR "digital health" OR "AI for health" OR "health data" OR "medical AI" OR "biomedical informatics") AND ("PhD" OR "DPhil" OR "MSc" OR "MPhil" OR "doctoral")</x:v>
      </x:c>
      <x:c r="E40" s="26" t="str">
        <x:v>https://www.linkedin.com/search/results/content/?keywords=(%22Ulsan%20National%20Institute%20of%20Science%20and%20Technology%22)%20AND%20(%22health%20informatics%22%20OR%20%22digital%20health%22%20OR%20%22AI%20for%20health%22%20OR%20%22health%20data%22%20OR%20%22medical%20AI%22%20OR%20%22biomedical%20informatics%22)%20AND%20(%22PhD%22%20OR%20%22DPhil%22%20OR%20%22MSc%22%20OR%20%22MPhil%22%20OR%20%22doctoral%22)&amp;origin=GLOBAL_SEARCH_HEADER</x:v>
      </x:c>
      <x:c r="F40" s="26" t="str">
        <x:v>Manual search only</x:v>
      </x:c>
    </x:row>
    <x:row r="41">
      <x:c r="A41" s="26" t="str">
        <x:v>Posts</x:v>
      </x:c>
      <x:c r="B41" s="26" t="str">
        <x:v>GIST - Drug Discovery</x:v>
      </x:c>
      <x:c r="C41" s="26" t="str">
        <x:v>Twice weekly</x:v>
      </x:c>
      <x:c r="D41" s="26" t="str">
        <x:v>("GIST") AND ("PhD position" OR "DPhil" OR "PhD studentship" OR "doctoral" OR "graduate student") AND ("medicinal chemistry" OR "computational chemistry" OR "chemical biology" OR "drug discovery" OR "pharmaceutical sciences")</x:v>
      </x:c>
      <x:c r="E41" s="26" t="str">
        <x:v>https://www.linkedin.com/search/results/content/?keywords=(%22GIST%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41" s="26" t="str">
        <x:v>Manual search only</x:v>
      </x:c>
    </x:row>
    <x:row r="42">
      <x:c r="A42" s="26" t="str">
        <x:v>Posts</x:v>
      </x:c>
      <x:c r="B42" s="26" t="str">
        <x:v>GIST - Health Informatics</x:v>
      </x:c>
      <x:c r="C42" s="26" t="str">
        <x:v>Twice weekly</x:v>
      </x:c>
      <x:c r="D42" s="26" t="str">
        <x:v>("GIST") AND ("health informatics" OR "digital health" OR "AI for health" OR "health data" OR "medical AI" OR "biomedical informatics") AND ("PhD" OR "DPhil" OR "MSc" OR "MPhil" OR "doctoral")</x:v>
      </x:c>
      <x:c r="E42" s="26" t="str">
        <x:v>https://www.linkedin.com/search/results/content/?keywords=(%22GIST%22)%20AND%20(%22health%20informatics%22%20OR%20%22digital%20health%22%20OR%20%22AI%20for%20health%22%20OR%20%22health%20data%22%20OR%20%22medical%20AI%22%20OR%20%22biomedical%20informatics%22)%20AND%20(%22PhD%22%20OR%20%22DPhil%22%20OR%20%22MSc%22%20OR%20%22MPhil%22%20OR%20%22doctoral%22)&amp;origin=GLOBAL_SEARCH_HEADER</x:v>
      </x:c>
      <x:c r="F42" s="26" t="str">
        <x:v>Manual search only</x:v>
      </x:c>
    </x:row>
    <x:row r="43">
      <x:c r="A43" s="26" t="str">
        <x:v>Posts</x:v>
      </x:c>
      <x:c r="B43" s="26" t="str">
        <x:v>Kyung Hee University - Drug Discovery</x:v>
      </x:c>
      <x:c r="C43" s="26" t="str">
        <x:v>Twice weekly</x:v>
      </x:c>
      <x:c r="D43" s="26" t="str">
        <x:v>("Kyung Hee University") AND ("PhD position" OR "DPhil" OR "PhD studentship" OR "doctoral" OR "graduate student") AND ("medicinal chemistry" OR "computational chemistry" OR "chemical biology" OR "drug discovery" OR "pharmaceutical sciences")</x:v>
      </x:c>
      <x:c r="E43" s="26" t="str">
        <x:v>https://www.linkedin.com/search/results/content/?keywords=(%22Kyung%20Hee%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43" s="26" t="str">
        <x:v>Manual search only</x:v>
      </x:c>
    </x:row>
    <x:row r="44">
      <x:c r="A44" s="26" t="str">
        <x:v>Posts</x:v>
      </x:c>
      <x:c r="B44" s="26" t="str">
        <x:v>Kyung Hee University - Health Informatics</x:v>
      </x:c>
      <x:c r="C44" s="26" t="str">
        <x:v>Twice weekly</x:v>
      </x:c>
      <x:c r="D44" s="26" t="str">
        <x:v>("Kyung Hee University") AND ("health informatics" OR "digital health" OR "AI for health" OR "health data" OR "medical AI" OR "biomedical informatics") AND ("PhD" OR "DPhil" OR "MSc" OR "MPhil" OR "doctoral")</x:v>
      </x:c>
      <x:c r="E44" s="26" t="str">
        <x:v>https://www.linkedin.com/search/results/content/?keywords=(%22Kyung%20Hee%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44" s="26" t="str">
        <x:v>Manual search only</x:v>
      </x:c>
    </x:row>
    <x:row r="45">
      <x:c r="A45" s="26" t="str">
        <x:v>Posts</x:v>
      </x:c>
      <x:c r="B45" s="26" t="str">
        <x:v>University of Tokyo - Drug Discovery</x:v>
      </x:c>
      <x:c r="C45" s="26" t="str">
        <x:v>Twice weekly</x:v>
      </x:c>
      <x:c r="D45" s="26" t="str">
        <x:v>("University of Tokyo") AND ("PhD position" OR "DPhil" OR "PhD studentship" OR "doctoral" OR "graduate student") AND ("medicinal chemistry" OR "computational chemistry" OR "chemical biology" OR "drug discovery" OR "pharmaceutical sciences")</x:v>
      </x:c>
      <x:c r="E45" s="26" t="str">
        <x:v>https://www.linkedin.com/search/results/content/?keywords=(%22University%20of%20Tokyo%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45" s="26" t="str">
        <x:v>Manual search only</x:v>
      </x:c>
    </x:row>
    <x:row r="46">
      <x:c r="A46" s="26" t="str">
        <x:v>Posts</x:v>
      </x:c>
      <x:c r="B46" s="26" t="str">
        <x:v>University of Tokyo - Health Informatics</x:v>
      </x:c>
      <x:c r="C46" s="26" t="str">
        <x:v>Twice weekly</x:v>
      </x:c>
      <x:c r="D46" s="26" t="str">
        <x:v>("University of Tokyo") AND ("health informatics" OR "digital health" OR "AI for health" OR "health data" OR "medical AI" OR "biomedical informatics") AND ("PhD" OR "DPhil" OR "MSc" OR "MPhil" OR "doctoral")</x:v>
      </x:c>
      <x:c r="E46" s="26" t="str">
        <x:v>https://www.linkedin.com/search/results/content/?keywords=(%22University%20of%20Tokyo%22)%20AND%20(%22health%20informatics%22%20OR%20%22digital%20health%22%20OR%20%22AI%20for%20health%22%20OR%20%22health%20data%22%20OR%20%22medical%20AI%22%20OR%20%22biomedical%20informatics%22)%20AND%20(%22PhD%22%20OR%20%22DPhil%22%20OR%20%22MSc%22%20OR%20%22MPhil%22%20OR%20%22doctoral%22)&amp;origin=GLOBAL_SEARCH_HEADER</x:v>
      </x:c>
      <x:c r="F46" s="26" t="str">
        <x:v>Manual search only</x:v>
      </x:c>
    </x:row>
    <x:row r="47">
      <x:c r="A47" s="26" t="str">
        <x:v>Posts</x:v>
      </x:c>
      <x:c r="B47" s="26" t="str">
        <x:v>Kyoto University - Drug Discovery</x:v>
      </x:c>
      <x:c r="C47" s="26" t="str">
        <x:v>Twice weekly</x:v>
      </x:c>
      <x:c r="D47" s="26" t="str">
        <x:v>("Kyoto University") AND ("PhD position" OR "DPhil" OR "PhD studentship" OR "doctoral" OR "graduate student") AND ("medicinal chemistry" OR "computational chemistry" OR "chemical biology" OR "drug discovery" OR "pharmaceutical sciences")</x:v>
      </x:c>
      <x:c r="E47" s="26" t="str">
        <x:v>https://www.linkedin.com/search/results/content/?keywords=(%22Kyoto%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47" s="26" t="str">
        <x:v>Manual search only</x:v>
      </x:c>
    </x:row>
    <x:row r="48">
      <x:c r="A48" s="26" t="str">
        <x:v>Posts</x:v>
      </x:c>
      <x:c r="B48" s="26" t="str">
        <x:v>Kyoto University - Health Informatics</x:v>
      </x:c>
      <x:c r="C48" s="26" t="str">
        <x:v>Twice weekly</x:v>
      </x:c>
      <x:c r="D48" s="26" t="str">
        <x:v>("Kyoto University") AND ("health informatics" OR "digital health" OR "AI for health" OR "health data" OR "medical AI" OR "biomedical informatics") AND ("PhD" OR "DPhil" OR "MSc" OR "MPhil" OR "doctoral")</x:v>
      </x:c>
      <x:c r="E48" s="26" t="str">
        <x:v>https://www.linkedin.com/search/results/content/?keywords=(%22Kyoto%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48" s="26" t="str">
        <x:v>Manual search only</x:v>
      </x:c>
    </x:row>
    <x:row r="49">
      <x:c r="A49" s="26" t="str">
        <x:v>Posts</x:v>
      </x:c>
      <x:c r="B49" s="26" t="str">
        <x:v>Osaka University - Drug Discovery</x:v>
      </x:c>
      <x:c r="C49" s="26" t="str">
        <x:v>Twice weekly</x:v>
      </x:c>
      <x:c r="D49" s="26" t="str">
        <x:v>("Osaka University") AND ("PhD position" OR "DPhil" OR "PhD studentship" OR "doctoral" OR "graduate student") AND ("medicinal chemistry" OR "computational chemistry" OR "chemical biology" OR "drug discovery" OR "pharmaceutical sciences")</x:v>
      </x:c>
      <x:c r="E49" s="26" t="str">
        <x:v>https://www.linkedin.com/search/results/content/?keywords=(%22Osaka%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49" s="26" t="str">
        <x:v>Manual search only</x:v>
      </x:c>
    </x:row>
    <x:row r="50">
      <x:c r="A50" s="26" t="str">
        <x:v>Posts</x:v>
      </x:c>
      <x:c r="B50" s="26" t="str">
        <x:v>Osaka University - Health Informatics</x:v>
      </x:c>
      <x:c r="C50" s="26" t="str">
        <x:v>Twice weekly</x:v>
      </x:c>
      <x:c r="D50" s="26" t="str">
        <x:v>("Osaka University") AND ("health informatics" OR "digital health" OR "AI for health" OR "health data" OR "medical AI" OR "biomedical informatics") AND ("PhD" OR "DPhil" OR "MSc" OR "MPhil" OR "doctoral")</x:v>
      </x:c>
      <x:c r="E50" s="26" t="str">
        <x:v>https://www.linkedin.com/search/results/content/?keywords=(%22Osaka%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50" s="26" t="str">
        <x:v>Manual search only</x:v>
      </x:c>
    </x:row>
    <x:row r="51">
      <x:c r="A51" s="26" t="str">
        <x:v>Posts</x:v>
      </x:c>
      <x:c r="B51" s="26" t="str">
        <x:v>Tohoku University - Drug Discovery</x:v>
      </x:c>
      <x:c r="C51" s="26" t="str">
        <x:v>Twice weekly</x:v>
      </x:c>
      <x:c r="D51" s="26" t="str">
        <x:v>("Tohoku University") AND ("PhD position" OR "DPhil" OR "PhD studentship" OR "doctoral" OR "graduate student") AND ("medicinal chemistry" OR "computational chemistry" OR "chemical biology" OR "drug discovery" OR "pharmaceutical sciences")</x:v>
      </x:c>
      <x:c r="E51" s="26" t="str">
        <x:v>https://www.linkedin.com/search/results/content/?keywords=(%22Tohoku%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51" s="26" t="str">
        <x:v>Manual search only</x:v>
      </x:c>
    </x:row>
    <x:row r="52">
      <x:c r="A52" s="26" t="str">
        <x:v>Posts</x:v>
      </x:c>
      <x:c r="B52" s="26" t="str">
        <x:v>Tohoku University - Health Informatics</x:v>
      </x:c>
      <x:c r="C52" s="26" t="str">
        <x:v>Twice weekly</x:v>
      </x:c>
      <x:c r="D52" s="26" t="str">
        <x:v>("Tohoku University") AND ("health informatics" OR "digital health" OR "AI for health" OR "health data" OR "medical AI" OR "biomedical informatics") AND ("PhD" OR "DPhil" OR "MSc" OR "MPhil" OR "doctoral")</x:v>
      </x:c>
      <x:c r="E52" s="26" t="str">
        <x:v>https://www.linkedin.com/search/results/content/?keywords=(%22Tohoku%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52" s="26" t="str">
        <x:v>Manual search only</x:v>
      </x:c>
    </x:row>
    <x:row r="53">
      <x:c r="A53" s="26" t="str">
        <x:v>Posts</x:v>
      </x:c>
      <x:c r="B53" s="26" t="str">
        <x:v>Nagoya University - Drug Discovery</x:v>
      </x:c>
      <x:c r="C53" s="26" t="str">
        <x:v>Twice weekly</x:v>
      </x:c>
      <x:c r="D53" s="26" t="str">
        <x:v>("Nagoya University") AND ("PhD position" OR "DPhil" OR "PhD studentship" OR "doctoral" OR "graduate student") AND ("medicinal chemistry" OR "computational chemistry" OR "chemical biology" OR "drug discovery" OR "pharmaceutical sciences")</x:v>
      </x:c>
      <x:c r="E53" s="26" t="str">
        <x:v>https://www.linkedin.com/search/results/content/?keywords=(%22Nagoya%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53" s="26" t="str">
        <x:v>Manual search only</x:v>
      </x:c>
    </x:row>
    <x:row r="54">
      <x:c r="A54" s="26" t="str">
        <x:v>Posts</x:v>
      </x:c>
      <x:c r="B54" s="26" t="str">
        <x:v>Nagoya University - Health Informatics</x:v>
      </x:c>
      <x:c r="C54" s="26" t="str">
        <x:v>Twice weekly</x:v>
      </x:c>
      <x:c r="D54" s="26" t="str">
        <x:v>("Nagoya University") AND ("health informatics" OR "digital health" OR "AI for health" OR "health data" OR "medical AI" OR "biomedical informatics") AND ("PhD" OR "DPhil" OR "MSc" OR "MPhil" OR "doctoral")</x:v>
      </x:c>
      <x:c r="E54" s="26" t="str">
        <x:v>https://www.linkedin.com/search/results/content/?keywords=(%22Nagoya%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54" s="26" t="str">
        <x:v>Manual search only</x:v>
      </x:c>
    </x:row>
    <x:row r="55">
      <x:c r="A55" s="26" t="str">
        <x:v>Posts</x:v>
      </x:c>
      <x:c r="B55" s="26" t="str">
        <x:v>Kyushu University - Drug Discovery</x:v>
      </x:c>
      <x:c r="C55" s="26" t="str">
        <x:v>Twice weekly</x:v>
      </x:c>
      <x:c r="D55" s="26" t="str">
        <x:v>("Kyushu University") AND ("PhD position" OR "DPhil" OR "PhD studentship" OR "doctoral" OR "graduate student") AND ("medicinal chemistry" OR "computational chemistry" OR "chemical biology" OR "drug discovery" OR "pharmaceutical sciences")</x:v>
      </x:c>
      <x:c r="E55" s="26" t="str">
        <x:v>https://www.linkedin.com/search/results/content/?keywords=(%22Kyushu%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55" s="26" t="str">
        <x:v>Manual search only</x:v>
      </x:c>
    </x:row>
    <x:row r="56">
      <x:c r="A56" s="26" t="str">
        <x:v>Posts</x:v>
      </x:c>
      <x:c r="B56" s="26" t="str">
        <x:v>Kyushu University - Health Informatics</x:v>
      </x:c>
      <x:c r="C56" s="26" t="str">
        <x:v>Twice weekly</x:v>
      </x:c>
      <x:c r="D56" s="26" t="str">
        <x:v>("Kyushu University") AND ("health informatics" OR "digital health" OR "AI for health" OR "health data" OR "medical AI" OR "biomedical informatics") AND ("PhD" OR "DPhil" OR "MSc" OR "MPhil" OR "doctoral")</x:v>
      </x:c>
      <x:c r="E56" s="26" t="str">
        <x:v>https://www.linkedin.com/search/results/content/?keywords=(%22Kyushu%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56" s="26" t="str">
        <x:v>Manual search only</x:v>
      </x:c>
    </x:row>
    <x:row r="57">
      <x:c r="A57" s="26" t="str">
        <x:v>Posts</x:v>
      </x:c>
      <x:c r="B57" s="26" t="str">
        <x:v>Hokkaido University - Drug Discovery</x:v>
      </x:c>
      <x:c r="C57" s="26" t="str">
        <x:v>Twice weekly</x:v>
      </x:c>
      <x:c r="D57" s="26" t="str">
        <x:v>("Hokkaido University") AND ("PhD position" OR "DPhil" OR "PhD studentship" OR "doctoral" OR "graduate student") AND ("medicinal chemistry" OR "computational chemistry" OR "chemical biology" OR "drug discovery" OR "pharmaceutical sciences")</x:v>
      </x:c>
      <x:c r="E57" s="26" t="str">
        <x:v>https://www.linkedin.com/search/results/content/?keywords=(%22Hokkaido%20Universit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57" s="26" t="str">
        <x:v>Manual search only</x:v>
      </x:c>
    </x:row>
    <x:row r="58">
      <x:c r="A58" s="26" t="str">
        <x:v>Posts</x:v>
      </x:c>
      <x:c r="B58" s="26" t="str">
        <x:v>Hokkaido University - Health Informatics</x:v>
      </x:c>
      <x:c r="C58" s="26" t="str">
        <x:v>Twice weekly</x:v>
      </x:c>
      <x:c r="D58" s="26" t="str">
        <x:v>("Hokkaido University") AND ("health informatics" OR "digital health" OR "AI for health" OR "health data" OR "medical AI" OR "biomedical informatics") AND ("PhD" OR "DPhil" OR "MSc" OR "MPhil" OR "doctoral")</x:v>
      </x:c>
      <x:c r="E58" s="26" t="str">
        <x:v>https://www.linkedin.com/search/results/content/?keywords=(%22Hokkaido%20University%22)%20AND%20(%22health%20informatics%22%20OR%20%22digital%20health%22%20OR%20%22AI%20for%20health%22%20OR%20%22health%20data%22%20OR%20%22medical%20AI%22%20OR%20%22biomedical%20informatics%22)%20AND%20(%22PhD%22%20OR%20%22DPhil%22%20OR%20%22MSc%22%20OR%20%22MPhil%22%20OR%20%22doctoral%22)&amp;origin=GLOBAL_SEARCH_HEADER</x:v>
      </x:c>
      <x:c r="F58" s="26" t="str">
        <x:v>Manual search only</x:v>
      </x:c>
    </x:row>
    <x:row r="59">
      <x:c r="A59" s="26" t="str">
        <x:v>Posts</x:v>
      </x:c>
      <x:c r="B59" s="26" t="str">
        <x:v>University of Tsukuba - Drug Discovery</x:v>
      </x:c>
      <x:c r="C59" s="26" t="str">
        <x:v>Twice weekly</x:v>
      </x:c>
      <x:c r="D59" s="26" t="str">
        <x:v>("University of Tsukuba") AND ("PhD position" OR "DPhil" OR "PhD studentship" OR "doctoral" OR "graduate student") AND ("medicinal chemistry" OR "computational chemistry" OR "chemical biology" OR "drug discovery" OR "pharmaceutical sciences")</x:v>
      </x:c>
      <x:c r="E59" s="26" t="str">
        <x:v>https://www.linkedin.com/search/results/content/?keywords=(%22University%20of%20Tsukuba%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59" s="26" t="str">
        <x:v>Manual search only</x:v>
      </x:c>
    </x:row>
    <x:row r="60">
      <x:c r="A60" s="26" t="str">
        <x:v>Posts</x:v>
      </x:c>
      <x:c r="B60" s="26" t="str">
        <x:v>University of Tsukuba - Health Informatics</x:v>
      </x:c>
      <x:c r="C60" s="26" t="str">
        <x:v>Twice weekly</x:v>
      </x:c>
      <x:c r="D60" s="26" t="str">
        <x:v>("University of Tsukuba") AND ("health informatics" OR "digital health" OR "AI for health" OR "health data" OR "medical AI" OR "biomedical informatics") AND ("PhD" OR "DPhil" OR "MSc" OR "MPhil" OR "doctoral")</x:v>
      </x:c>
      <x:c r="E60" s="26" t="str">
        <x:v>https://www.linkedin.com/search/results/content/?keywords=(%22University%20of%20Tsukuba%22)%20AND%20(%22health%20informatics%22%20OR%20%22digital%20health%22%20OR%20%22AI%20for%20health%22%20OR%20%22health%20data%22%20OR%20%22medical%20AI%22%20OR%20%22biomedical%20informatics%22)%20AND%20(%22PhD%22%20OR%20%22DPhil%22%20OR%20%22MSc%22%20OR%20%22MPhil%22%20OR%20%22doctoral%22)&amp;origin=GLOBAL_SEARCH_HEADER</x:v>
      </x:c>
      <x:c r="F60" s="26" t="str">
        <x:v>Manual search only</x:v>
      </x:c>
    </x:row>
    <x:row r="61">
      <x:c r="A61" s="26" t="str">
        <x:v>Posts</x:v>
      </x:c>
      <x:c r="B61" s="26" t="str">
        <x:v>Institute of Science Tokyo - Drug Discovery</x:v>
      </x:c>
      <x:c r="C61" s="26" t="str">
        <x:v>Twice weekly</x:v>
      </x:c>
      <x:c r="D61" s="26" t="str">
        <x:v>("Institute of Science Tokyo") AND ("PhD position" OR "DPhil" OR "PhD studentship" OR "doctoral" OR "graduate student") AND ("medicinal chemistry" OR "computational chemistry" OR "chemical biology" OR "drug discovery" OR "pharmaceutical sciences")</x:v>
      </x:c>
      <x:c r="E61" s="26" t="str">
        <x:v>https://www.linkedin.com/search/results/content/?keywords=(%22Institute%20of%20Science%20Tokyo%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61" s="26" t="str">
        <x:v>Manual search only</x:v>
      </x:c>
    </x:row>
    <x:row r="62">
      <x:c r="A62" s="26" t="str">
        <x:v>Posts</x:v>
      </x:c>
      <x:c r="B62" s="26" t="str">
        <x:v>Institute of Science Tokyo - Health Informatics</x:v>
      </x:c>
      <x:c r="C62" s="26" t="str">
        <x:v>Twice weekly</x:v>
      </x:c>
      <x:c r="D62" s="26" t="str">
        <x:v>("Institute of Science Tokyo") AND ("health informatics" OR "digital health" OR "AI for health" OR "health data" OR "medical AI" OR "biomedical informatics") AND ("PhD" OR "DPhil" OR "MSc" OR "MPhil" OR "doctoral")</x:v>
      </x:c>
      <x:c r="E62" s="26" t="str">
        <x:v>https://www.linkedin.com/search/results/content/?keywords=(%22Institute%20of%20Science%20Tokyo%22)%20AND%20(%22health%20informatics%22%20OR%20%22digital%20health%22%20OR%20%22AI%20for%20health%22%20OR%20%22health%20data%22%20OR%20%22medical%20AI%22%20OR%20%22biomedical%20informatics%22)%20AND%20(%22PhD%22%20OR%20%22DPhil%22%20OR%20%22MSc%22%20OR%20%22MPhil%22%20OR%20%22doctoral%22)&amp;origin=GLOBAL_SEARCH_HEADER</x:v>
      </x:c>
      <x:c r="F62" s="26" t="str">
        <x:v>Manual search only</x:v>
      </x:c>
    </x:row>
    <x:row r="63">
      <x:c r="A63" s="26" t="str">
        <x:v>Posts</x:v>
      </x:c>
      <x:c r="B63" s="26" t="str">
        <x:v>Okinawa Institute of Science and Technology - Drug Discovery</x:v>
      </x:c>
      <x:c r="C63" s="26" t="str">
        <x:v>Twice weekly</x:v>
      </x:c>
      <x:c r="D63" s="26" t="str">
        <x:v>("Okinawa Institute of Science and Technology") AND ("PhD position" OR "DPhil" OR "PhD studentship" OR "doctoral" OR "graduate student") AND ("medicinal chemistry" OR "computational chemistry" OR "chemical biology" OR "drug discovery" OR "pharmaceutical sciences")</x:v>
      </x:c>
      <x:c r="E63" s="26" t="str">
        <x:v>https://www.linkedin.com/search/results/content/?keywords=(%22Okinawa%20Institute%20of%20Science%20and%20Technology%22)%20AND%20(%22PhD%20position%22%20OR%20%22DPhil%22%20OR%20%22PhD%20studentship%22%20OR%20%22doctoral%22%20OR%20%22graduate%20student%22)%20AND%20(%22medicinal%20chemistry%22%20OR%20%22computational%20chemistry%22%20OR%20%22chemical%20biology%22%20OR%20%22drug%20discovery%22%20OR%20%22pharmaceutical%20sciences%22)&amp;origin=GLOBAL_SEARCH_HEADER</x:v>
      </x:c>
      <x:c r="F63" s="26" t="str">
        <x:v>Manual search only</x:v>
      </x:c>
    </x:row>
    <x:row r="64">
      <x:c r="A64" s="26" t="str">
        <x:v>Posts</x:v>
      </x:c>
      <x:c r="B64" s="26" t="str">
        <x:v>Okinawa Institute of Science and Technology - Health Informatics</x:v>
      </x:c>
      <x:c r="C64" s="26" t="str">
        <x:v>Twice weekly</x:v>
      </x:c>
      <x:c r="D64" s="26" t="str">
        <x:v>("Okinawa Institute of Science and Technology") AND ("health informatics" OR "digital health" OR "AI for health" OR "health data" OR "medical AI" OR "biomedical informatics") AND ("PhD" OR "DPhil" OR "MSc" OR "MPhil" OR "doctoral")</x:v>
      </x:c>
      <x:c r="E64" s="26" t="str">
        <x:v>https://www.linkedin.com/search/results/content/?keywords=(%22Okinawa%20Institute%20of%20Science%20and%20Technology%22)%20AND%20(%22health%20informatics%22%20OR%20%22digital%20health%22%20OR%20%22AI%20for%20health%22%20OR%20%22health%20data%22%20OR%20%22medical%20AI%22%20OR%20%22biomedical%20informatics%22)%20AND%20(%22PhD%22%20OR%20%22DPhil%22%20OR%20%22MSc%22%20OR%20%22MPhil%22%20OR%20%22doctoral%22)&amp;origin=GLOBAL_SEARCH_HEADER</x:v>
      </x:c>
      <x:c r="F64" s="26" t="str">
        <x:v>Manual search only</x:v>
      </x:c>
    </x:row>
  </x:sheetData>
  <x:mergeCells>
    <x:mergeCell ref="A1:F1"/>
    <x:mergeCell ref="A2:F2"/>
  </x:mergeCells>
  <x:pageMargins left="0.7" right="0.7" top="0.75" bottom="0.75" header="0.3" footer="0.3"/>
  <x:tableParts count="1">
    <x:tablePart xmlns:r="http://schemas.openxmlformats.org/officeDocument/2006/relationships" r:id="Re08faf6085294ad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68" hidden="0" customWidth="1"/>
    <x:col min="3" max="3" width="80" hidden="0" customWidth="1"/>
    <x:col min="4" max="4" width="42" hidden="0" customWidth="1"/>
    <x:col min="5" max="5" width="18" hidden="0" customWidth="1"/>
    <x:col min="6" max="6" width="42" hidden="0" customWidth="1"/>
  </x:cols>
  <x:sheetData>
    <x:row r="1">
      <x:c r="A1" s="7" t="str">
        <x:v>Public Source Search Plan</x:v>
      </x:c>
      <x:c r="B1" s="8"/>
      <x:c r="C1" s="8"/>
      <x:c r="D1" s="8"/>
      <x:c r="E1" s="8"/>
      <x:c r="F1" s="9"/>
    </x:row>
    <x:row r="2">
      <x:c r="A2" s="10" t="str">
        <x:v>Use this for compliant daily/weekly web discovery outside LinkedIn.</x:v>
      </x:c>
      <x:c r="B2" s="11"/>
      <x:c r="C2" s="11"/>
      <x:c r="D2" s="11"/>
      <x:c r="E2" s="11"/>
      <x:c r="F2" s="12"/>
    </x:row>
    <x:row r="4">
      <x:c r="A4" s="17" t="str">
        <x:v>Cadence</x:v>
      </x:c>
      <x:c r="B4" s="17" t="str">
        <x:v>Search Query</x:v>
      </x:c>
      <x:c r="C4" s="17" t="str">
        <x:v>Google URL</x:v>
      </x:c>
      <x:c r="D4" s="17" t="str">
        <x:v>Best Sources</x:v>
      </x:c>
      <x:c r="E4" s="17" t="str">
        <x:v>Lead Type</x:v>
      </x:c>
      <x:c r="F4" s="17" t="str">
        <x:v>Notes</x:v>
      </x:c>
    </x:row>
    <x:row r="5">
      <x:c r="A5" s="26" t="str">
        <x:v>Daily</x:v>
      </x:c>
      <x:c r="B5" s="26" t="str">
        <x:v>"PhD position" "medicinal chemistry" "fully funded"</x:v>
      </x:c>
      <x:c r="C5" s="26" t="str">
        <x:v>https://www.google.com/search?q=%22PhD%20position%22%20%22medicinal%20chemistry%22%20%22fully%20funded%22</x:v>
      </x:c>
      <x:c r="D5" s="26" t="str">
        <x:v>FindAPhD, EURAXESS, Academic Positions, jobs.ac.uk, Nature Careers, JREC-IN Portal, JSPS, MEXT, Study in Korea, university job pages, faculty lab websites</x:v>
      </x:c>
      <x:c r="E5" s="26" t="str">
        <x:v>PhD advert</x:v>
      </x:c>
      <x:c r="F5" s="26" t="str">
        <x:v>Review official pages first; paste final source URL into Leads.</x:v>
      </x:c>
    </x:row>
    <x:row r="6">
      <x:c r="A6" s="26" t="str">
        <x:v>Daily</x:v>
      </x:c>
      <x:c r="B6" s="26" t="str">
        <x:v>"PhD studentship" "drug discovery" "international students"</x:v>
      </x:c>
      <x:c r="C6" s="26" t="str">
        <x:v>https://www.google.com/search?q=%22PhD%20studentship%22%20%22drug%20discovery%22%20%22international%20students%22</x:v>
      </x:c>
      <x:c r="D6" s="26" t="str">
        <x:v>FindAPhD, EURAXESS, Academic Positions, jobs.ac.uk, Nature Careers, JREC-IN Portal, JSPS, MEXT, Study in Korea, university job pages, faculty lab websites</x:v>
      </x:c>
      <x:c r="E6" s="26" t="str">
        <x:v>PhD advert</x:v>
      </x:c>
      <x:c r="F6" s="26" t="str">
        <x:v>Review official pages first; paste final source URL into Leads.</x:v>
      </x:c>
    </x:row>
    <x:row r="7">
      <x:c r="A7" s="26" t="str">
        <x:v>Daily</x:v>
      </x:c>
      <x:c r="B7" s="26" t="str">
        <x:v>"computational drug discovery" "PhD position"</x:v>
      </x:c>
      <x:c r="C7" s="26" t="str">
        <x:v>https://www.google.com/search?q=%22computational%20drug%20discovery%22%20%22PhD%20position%22</x:v>
      </x:c>
      <x:c r="D7" s="26" t="str">
        <x:v>FindAPhD, EURAXESS, Academic Positions, jobs.ac.uk, Nature Careers, JREC-IN Portal, JSPS, MEXT, Study in Korea, university job pages, faculty lab websites</x:v>
      </x:c>
      <x:c r="E7" s="26" t="str">
        <x:v>PhD advert</x:v>
      </x:c>
      <x:c r="F7" s="26" t="str">
        <x:v>Review official pages first; paste final source URL into Leads.</x:v>
      </x:c>
    </x:row>
    <x:row r="8">
      <x:c r="A8" s="26" t="str">
        <x:v>Daily</x:v>
      </x:c>
      <x:c r="B8" s="26" t="str">
        <x:v>"health informatics" "PhD" "fully funded"</x:v>
      </x:c>
      <x:c r="C8" s="26" t="str">
        <x:v>https://www.google.com/search?q=%22health%20informatics%22%20%22PhD%22%20%22fully%20funded%22</x:v>
      </x:c>
      <x:c r="D8" s="26" t="str">
        <x:v>FindAPhD, EURAXESS, Academic Positions, jobs.ac.uk, Nature Careers, JREC-IN Portal, JSPS, MEXT, Study in Korea, university job pages, faculty lab websites</x:v>
      </x:c>
      <x:c r="E8" s="26" t="str">
        <x:v>PhD advert</x:v>
      </x:c>
      <x:c r="F8" s="26" t="str">
        <x:v>Review official pages first; paste final source URL into Leads.</x:v>
      </x:c>
    </x:row>
    <x:row r="9">
      <x:c r="A9" s="26" t="str">
        <x:v>Daily</x:v>
      </x:c>
      <x:c r="B9" s="26" t="str">
        <x:v>"digital health" "PhD studentship"</x:v>
      </x:c>
      <x:c r="C9" s="26" t="str">
        <x:v>https://www.google.com/search?q=%22digital%20health%22%20%22PhD%20studentship%22</x:v>
      </x:c>
      <x:c r="D9" s="26" t="str">
        <x:v>FindAPhD, EURAXESS, Academic Positions, jobs.ac.uk, Nature Careers, JREC-IN Portal, JSPS, MEXT, Study in Korea, university job pages, faculty lab websites</x:v>
      </x:c>
      <x:c r="E9" s="26" t="str">
        <x:v>PhD advert</x:v>
      </x:c>
      <x:c r="F9" s="26" t="str">
        <x:v>Review official pages first; paste final source URL into Leads.</x:v>
      </x:c>
    </x:row>
    <x:row r="10">
      <x:c r="A10" s="26" t="str">
        <x:v>Daily</x:v>
      </x:c>
      <x:c r="B10" s="26" t="str">
        <x:v>"AI for health" "PhD position" "health data"</x:v>
      </x:c>
      <x:c r="C10" s="26" t="str">
        <x:v>https://www.google.com/search?q=%22AI%20for%20health%22%20%22PhD%20position%22%20%22health%20data%22</x:v>
      </x:c>
      <x:c r="D10" s="26" t="str">
        <x:v>FindAPhD, EURAXESS, Academic Positions, jobs.ac.uk, Nature Careers, JREC-IN Portal, JSPS, MEXT, Study in Korea, university job pages, faculty lab websites</x:v>
      </x:c>
      <x:c r="E10" s="26" t="str">
        <x:v>PhD advert</x:v>
      </x:c>
      <x:c r="F10" s="26" t="str">
        <x:v>Review official pages first; paste final source URL into Leads.</x:v>
      </x:c>
    </x:row>
    <x:row r="11">
      <x:c r="A11" s="26" t="str">
        <x:v>Daily</x:v>
      </x:c>
      <x:c r="B11" s="26" t="str">
        <x:v>"natural product chemistry" "PhD position"</x:v>
      </x:c>
      <x:c r="C11" s="26" t="str">
        <x:v>https://www.google.com/search?q=%22natural%20product%20chemistry%22%20%22PhD%20position%22</x:v>
      </x:c>
      <x:c r="D11" s="26" t="str">
        <x:v>FindAPhD, EURAXESS, Academic Positions, jobs.ac.uk, Nature Careers, JREC-IN Portal, JSPS, MEXT, Study in Korea, university job pages, faculty lab websites</x:v>
      </x:c>
      <x:c r="E11" s="26" t="str">
        <x:v>PhD advert</x:v>
      </x:c>
      <x:c r="F11" s="26" t="str">
        <x:v>Review official pages first; paste final source URL into Leads.</x:v>
      </x:c>
    </x:row>
    <x:row r="12">
      <x:c r="A12" s="26" t="str">
        <x:v>Daily</x:v>
      </x:c>
      <x:c r="B12" s="26" t="str">
        <x:v>"leishmaniasis" "PhD position" "medicinal chemistry"</x:v>
      </x:c>
      <x:c r="C12" s="26" t="str">
        <x:v>https://www.google.com/search?q=%22leishmaniasis%22%20%22PhD%20position%22%20%22medicinal%20chemistry%22</x:v>
      </x:c>
      <x:c r="D12" s="26" t="str">
        <x:v>FindAPhD, EURAXESS, Academic Positions, jobs.ac.uk, Nature Careers, JREC-IN Portal, JSPS, MEXT, Study in Korea, university job pages, faculty lab websites</x:v>
      </x:c>
      <x:c r="E12" s="26" t="str">
        <x:v>PhD advert</x:v>
      </x:c>
      <x:c r="F12" s="26" t="str">
        <x:v>Review official pages first; paste final source URL into Leads.</x:v>
      </x:c>
    </x:row>
    <x:row r="13">
      <x:c r="A13" s="26" t="str">
        <x:v>Daily</x:v>
      </x:c>
      <x:c r="B13" s="26" t="str">
        <x:v>"molecular docking" "ADMET" "PhD position"</x:v>
      </x:c>
      <x:c r="C13" s="26" t="str">
        <x:v>https://www.google.com/search?q=%22molecular%20docking%22%20%22ADMET%22%20%22PhD%20position%22</x:v>
      </x:c>
      <x:c r="D13" s="26" t="str">
        <x:v>FindAPhD, EURAXESS, Academic Positions, jobs.ac.uk, Nature Careers, JREC-IN Portal, JSPS, MEXT, Study in Korea, university job pages, faculty lab websites</x:v>
      </x:c>
      <x:c r="E13" s="26" t="str">
        <x:v>PhD advert</x:v>
      </x:c>
      <x:c r="F13" s="26" t="str">
        <x:v>Review official pages first; paste final source URL into Leads.</x:v>
      </x:c>
    </x:row>
    <x:row r="14">
      <x:c r="A14" s="26" t="str">
        <x:v>Daily</x:v>
      </x:c>
      <x:c r="B14" s="26" t="str">
        <x:v>"pharmaceutical supply chain" "PhD" "health systems"</x:v>
      </x:c>
      <x:c r="C14" s="26" t="str">
        <x:v>https://www.google.com/search?q=%22pharmaceutical%20supply%20chain%22%20%22PhD%22%20%22health%20systems%22</x:v>
      </x:c>
      <x:c r="D14" s="26" t="str">
        <x:v>FindAPhD, EURAXESS, Academic Positions, jobs.ac.uk, Nature Careers, JREC-IN Portal, JSPS, MEXT, Study in Korea, university job pages, faculty lab websites</x:v>
      </x:c>
      <x:c r="E14" s="26" t="str">
        <x:v>PhD advert</x:v>
      </x:c>
      <x:c r="F14" s="26" t="str">
        <x:v>Review official pages first; paste final source URL into Leads.</x:v>
      </x:c>
    </x:row>
    <x:row r="15">
      <x:c r="A15" s="26" t="str">
        <x:v>Weekly</x:v>
      </x:c>
      <x:c r="B15" s="26" t="str">
        <x:v>"University of Oxford" "PhD position" "medicinal chemistry"</x:v>
      </x:c>
      <x:c r="C15" s="26" t="str">
        <x:v>https://www.google.com/search?q=%22University%20of%20Oxford%22%20%22PhD%20position%22%20%22medicinal%20chemistry%22</x:v>
      </x:c>
      <x:c r="D15" s="26" t="str">
        <x:v>FindAPhD, EURAXESS, Academic Positions, jobs.ac.uk, Nature Careers, JREC-IN Portal, JSPS, MEXT, Study in Korea, university job pages, faculty lab websites</x:v>
      </x:c>
      <x:c r="E15" s="26" t="str">
        <x:v>PhD advert</x:v>
      </x:c>
      <x:c r="F15" s="26" t="str">
        <x:v>Review official pages first; paste final source URL into Leads.</x:v>
      </x:c>
    </x:row>
    <x:row r="16">
      <x:c r="A16" s="26" t="str">
        <x:v>Weekly</x:v>
      </x:c>
      <x:c r="B16" s="26" t="str">
        <x:v>"University of Cambridge" "PhD position" "medicinal chemistry"</x:v>
      </x:c>
      <x:c r="C16" s="26" t="str">
        <x:v>https://www.google.com/search?q=%22University%20of%20Cambridge%22%20%22PhD%20position%22%20%22medicinal%20chemistry%22</x:v>
      </x:c>
      <x:c r="D16" s="26" t="str">
        <x:v>FindAPhD, EURAXESS, Academic Positions, jobs.ac.uk, Nature Careers, JREC-IN Portal, JSPS, MEXT, Study in Korea, university job pages, faculty lab websites</x:v>
      </x:c>
      <x:c r="E16" s="26" t="str">
        <x:v>PhD advert</x:v>
      </x:c>
      <x:c r="F16" s="26" t="str">
        <x:v>Review official pages first; paste final source URL into Leads.</x:v>
      </x:c>
    </x:row>
    <x:row r="17">
      <x:c r="A17" s="26" t="str">
        <x:v>Weekly</x:v>
      </x:c>
      <x:c r="B17" s="26" t="str">
        <x:v>"University of Toronto" "PhD position" "medicinal chemistry"</x:v>
      </x:c>
      <x:c r="C17" s="26" t="str">
        <x:v>https://www.google.com/search?q=%22University%20of%20Toronto%22%20%22PhD%20position%22%20%22medicinal%20chemistry%22</x:v>
      </x:c>
      <x:c r="D17" s="26" t="str">
        <x:v>FindAPhD, EURAXESS, Academic Positions, jobs.ac.uk, Nature Careers, JREC-IN Portal, JSPS, MEXT, Study in Korea, university job pages, faculty lab websites</x:v>
      </x:c>
      <x:c r="E17" s="26" t="str">
        <x:v>PhD advert</x:v>
      </x:c>
      <x:c r="F17" s="26" t="str">
        <x:v>Review official pages first; paste final source URL into Leads.</x:v>
      </x:c>
    </x:row>
    <x:row r="18">
      <x:c r="A18" s="26" t="str">
        <x:v>Weekly</x:v>
      </x:c>
      <x:c r="B18" s="26" t="str">
        <x:v>"University of Michigan" "PhD position" "medicinal chemistry"</x:v>
      </x:c>
      <x:c r="C18" s="26" t="str">
        <x:v>https://www.google.com/search?q=%22University%20of%20Michigan%22%20%22PhD%20position%22%20%22medicinal%20chemistry%22</x:v>
      </x:c>
      <x:c r="D18" s="26" t="str">
        <x:v>FindAPhD, EURAXESS, Academic Positions, jobs.ac.uk, Nature Careers, JREC-IN Portal, JSPS, MEXT, Study in Korea, university job pages, faculty lab websites</x:v>
      </x:c>
      <x:c r="E18" s="26" t="str">
        <x:v>PhD advert</x:v>
      </x:c>
      <x:c r="F18" s="26" t="str">
        <x:v>Review official pages first; paste final source URL into Leads.</x:v>
      </x:c>
    </x:row>
    <x:row r="19">
      <x:c r="A19" s="26" t="str">
        <x:v>Weekly</x:v>
      </x:c>
      <x:c r="B19" s="26" t="str">
        <x:v>"Nantes Universite" "PhD position" "medicinal chemistry"</x:v>
      </x:c>
      <x:c r="C19" s="26" t="str">
        <x:v>https://www.google.com/search?q=%22Nantes%20Universite%22%20%22PhD%20position%22%20%22medicinal%20chemistry%22</x:v>
      </x:c>
      <x:c r="D19" s="26" t="str">
        <x:v>FindAPhD, EURAXESS, Academic Positions, jobs.ac.uk, Nature Careers, JREC-IN Portal, JSPS, MEXT, Study in Korea, university job pages, faculty lab websites</x:v>
      </x:c>
      <x:c r="E19" s="26" t="str">
        <x:v>PhD advert</x:v>
      </x:c>
      <x:c r="F19" s="26" t="str">
        <x:v>Review official pages first; paste final source URL into Leads.</x:v>
      </x:c>
    </x:row>
    <x:row r="20">
      <x:c r="A20" s="26" t="str">
        <x:v>Weekly</x:v>
      </x:c>
      <x:c r="B20" s="26" t="str">
        <x:v>"McGill University" "PhD position" "medicinal chemistry"</x:v>
      </x:c>
      <x:c r="C20" s="26" t="str">
        <x:v>https://www.google.com/search?q=%22McGill%20University%22%20%22PhD%20position%22%20%22medicinal%20chemistry%22</x:v>
      </x:c>
      <x:c r="D20" s="26" t="str">
        <x:v>FindAPhD, EURAXESS, Academic Positions, jobs.ac.uk, Nature Careers, JREC-IN Portal, JSPS, MEXT, Study in Korea, university job pages, faculty lab websites</x:v>
      </x:c>
      <x:c r="E20" s="26" t="str">
        <x:v>PhD advert</x:v>
      </x:c>
      <x:c r="F20" s="26" t="str">
        <x:v>Review official pages first; paste final source URL into Leads.</x:v>
      </x:c>
    </x:row>
    <x:row r="21">
      <x:c r="A21" s="26" t="str">
        <x:v>Weekly</x:v>
      </x:c>
      <x:c r="B21" s="26" t="str">
        <x:v>"University of British Columbia" "PhD position" "medicinal chemistry"</x:v>
      </x:c>
      <x:c r="C21" s="26" t="str">
        <x:v>https://www.google.com/search?q=%22University%20of%20British%20Columbia%22%20%22PhD%20position%22%20%22medicinal%20chemistry%22</x:v>
      </x:c>
      <x:c r="D21" s="26" t="str">
        <x:v>FindAPhD, EURAXESS, Academic Positions, jobs.ac.uk, Nature Careers, JREC-IN Portal, JSPS, MEXT, Study in Korea, university job pages, faculty lab websites</x:v>
      </x:c>
      <x:c r="E21" s="26" t="str">
        <x:v>PhD advert</x:v>
      </x:c>
      <x:c r="F21" s="26" t="str">
        <x:v>Review official pages first; paste final source URL into Leads.</x:v>
      </x:c>
    </x:row>
    <x:row r="22">
      <x:c r="A22" s="26" t="str">
        <x:v>Weekly</x:v>
      </x:c>
      <x:c r="B22" s="26" t="str">
        <x:v>"Johns Hopkins University" "PhD position" "medicinal chemistry"</x:v>
      </x:c>
      <x:c r="C22" s="26" t="str">
        <x:v>https://www.google.com/search?q=%22Johns%20Hopkins%20University%22%20%22PhD%20position%22%20%22medicinal%20chemistry%22</x:v>
      </x:c>
      <x:c r="D22" s="26" t="str">
        <x:v>FindAPhD, EURAXESS, Academic Positions, jobs.ac.uk, Nature Careers, JREC-IN Portal, JSPS, MEXT, Study in Korea, university job pages, faculty lab websites</x:v>
      </x:c>
      <x:c r="E22" s="26" t="str">
        <x:v>PhD advert</x:v>
      </x:c>
      <x:c r="F22" s="26" t="str">
        <x:v>Review official pages first; paste final source URL into Leads.</x:v>
      </x:c>
    </x:row>
    <x:row r="23">
      <x:c r="A23" s="26" t="str">
        <x:v>Weekly</x:v>
      </x:c>
      <x:c r="B23" s="26" t="str">
        <x:v>"University College London" "PhD position" "medicinal chemistry"</x:v>
      </x:c>
      <x:c r="C23" s="26" t="str">
        <x:v>https://www.google.com/search?q=%22University%20College%20London%22%20%22PhD%20position%22%20%22medicinal%20chemistry%22</x:v>
      </x:c>
      <x:c r="D23" s="26" t="str">
        <x:v>FindAPhD, EURAXESS, Academic Positions, jobs.ac.uk, Nature Careers, JREC-IN Portal, JSPS, MEXT, Study in Korea, university job pages, faculty lab websites</x:v>
      </x:c>
      <x:c r="E23" s="26" t="str">
        <x:v>PhD advert</x:v>
      </x:c>
      <x:c r="F23" s="26" t="str">
        <x:v>Review official pages first; paste final source URL into Leads.</x:v>
      </x:c>
    </x:row>
    <x:row r="24">
      <x:c r="A24" s="26" t="str">
        <x:v>Weekly</x:v>
      </x:c>
      <x:c r="B24" s="26" t="str">
        <x:v>"Imperial College London" "PhD position" "medicinal chemistry"</x:v>
      </x:c>
      <x:c r="C24" s="26" t="str">
        <x:v>https://www.google.com/search?q=%22Imperial%20College%20London%22%20%22PhD%20position%22%20%22medicinal%20chemistry%22</x:v>
      </x:c>
      <x:c r="D24" s="26" t="str">
        <x:v>FindAPhD, EURAXESS, Academic Positions, jobs.ac.uk, Nature Careers, JREC-IN Portal, JSPS, MEXT, Study in Korea, university job pages, faculty lab websites</x:v>
      </x:c>
      <x:c r="E24" s="26" t="str">
        <x:v>PhD advert</x:v>
      </x:c>
      <x:c r="F24" s="26" t="str">
        <x:v>Review official pages first; paste final source URL into Leads.</x:v>
      </x:c>
    </x:row>
    <x:row r="25">
      <x:c r="A25" s="26" t="str">
        <x:v>Weekly</x:v>
      </x:c>
      <x:c r="B25" s="26" t="str">
        <x:v>"Karolinska Institutet" "PhD position" "medicinal chemistry"</x:v>
      </x:c>
      <x:c r="C25" s="26" t="str">
        <x:v>https://www.google.com/search?q=%22Karolinska%20Institutet%22%20%22PhD%20position%22%20%22medicinal%20chemistry%22</x:v>
      </x:c>
      <x:c r="D25" s="26" t="str">
        <x:v>FindAPhD, EURAXESS, Academic Positions, jobs.ac.uk, Nature Careers, JREC-IN Portal, JSPS, MEXT, Study in Korea, university job pages, faculty lab websites</x:v>
      </x:c>
      <x:c r="E25" s="26" t="str">
        <x:v>PhD advert</x:v>
      </x:c>
      <x:c r="F25" s="26" t="str">
        <x:v>Review official pages first; paste final source URL into Leads.</x:v>
      </x:c>
    </x:row>
    <x:row r="26">
      <x:c r="A26" s="26" t="str">
        <x:v>Weekly</x:v>
      </x:c>
      <x:c r="B26" s="26" t="str">
        <x:v>"ETH Zurich" "PhD position" "medicinal chemistry"</x:v>
      </x:c>
      <x:c r="C26" s="26" t="str">
        <x:v>https://www.google.com/search?q=%22ETH%20Zurich%22%20%22PhD%20position%22%20%22medicinal%20chemistry%22</x:v>
      </x:c>
      <x:c r="D26" s="26" t="str">
        <x:v>FindAPhD, EURAXESS, Academic Positions, jobs.ac.uk, Nature Careers, JREC-IN Portal, JSPS, MEXT, Study in Korea, university job pages, faculty lab websites</x:v>
      </x:c>
      <x:c r="E26" s="26" t="str">
        <x:v>PhD advert</x:v>
      </x:c>
      <x:c r="F26" s="26" t="str">
        <x:v>Review official pages first; paste final source URL into Leads.</x:v>
      </x:c>
    </x:row>
    <x:row r="27">
      <x:c r="A27" s="26" t="str">
        <x:v>Weekly</x:v>
      </x:c>
      <x:c r="B27" s="26" t="str">
        <x:v>"Seoul National University" "PhD position" "medicinal chemistry"</x:v>
      </x:c>
      <x:c r="C27" s="26" t="str">
        <x:v>https://www.google.com/search?q=%22Seoul%20National%20University%22%20%22PhD%20position%22%20%22medicinal%20chemistry%22</x:v>
      </x:c>
      <x:c r="D27" s="26" t="str">
        <x:v>FindAPhD, EURAXESS, Academic Positions, jobs.ac.uk, Nature Careers, JREC-IN Portal, JSPS, MEXT, Study in Korea, university job pages, faculty lab websites</x:v>
      </x:c>
      <x:c r="E27" s="26" t="str">
        <x:v>PhD advert</x:v>
      </x:c>
      <x:c r="F27" s="26" t="str">
        <x:v>Review official pages first; paste final source URL into Leads.</x:v>
      </x:c>
    </x:row>
    <x:row r="28">
      <x:c r="A28" s="26" t="str">
        <x:v>Weekly</x:v>
      </x:c>
      <x:c r="B28" s="26" t="str">
        <x:v>"KAIST" "PhD position" "medicinal chemistry"</x:v>
      </x:c>
      <x:c r="C28" s="26" t="str">
        <x:v>https://www.google.com/search?q=%22KAIST%22%20%22PhD%20position%22%20%22medicinal%20chemistry%22</x:v>
      </x:c>
      <x:c r="D28" s="26" t="str">
        <x:v>FindAPhD, EURAXESS, Academic Positions, jobs.ac.uk, Nature Careers, JREC-IN Portal, JSPS, MEXT, Study in Korea, university job pages, faculty lab websites</x:v>
      </x:c>
      <x:c r="E28" s="26" t="str">
        <x:v>PhD advert</x:v>
      </x:c>
      <x:c r="F28" s="26" t="str">
        <x:v>Review official pages first; paste final source URL into Leads.</x:v>
      </x:c>
    </x:row>
    <x:row r="29">
      <x:c r="A29" s="26" t="str">
        <x:v>Weekly</x:v>
      </x:c>
      <x:c r="B29" s="26" t="str">
        <x:v>"Yonsei University" "PhD position" "medicinal chemistry"</x:v>
      </x:c>
      <x:c r="C29" s="26" t="str">
        <x:v>https://www.google.com/search?q=%22Yonsei%20University%22%20%22PhD%20position%22%20%22medicinal%20chemistry%22</x:v>
      </x:c>
      <x:c r="D29" s="26" t="str">
        <x:v>FindAPhD, EURAXESS, Academic Positions, jobs.ac.uk, Nature Careers, JREC-IN Portal, JSPS, MEXT, Study in Korea, university job pages, faculty lab websites</x:v>
      </x:c>
      <x:c r="E29" s="26" t="str">
        <x:v>PhD advert</x:v>
      </x:c>
      <x:c r="F29" s="26" t="str">
        <x:v>Review official pages first; paste final source URL into Leads.</x:v>
      </x:c>
    </x:row>
    <x:row r="30">
      <x:c r="A30" s="26" t="str">
        <x:v>Weekly</x:v>
      </x:c>
      <x:c r="B30" s="26" t="str">
        <x:v>"Korea University" "PhD position" "medicinal chemistry"</x:v>
      </x:c>
      <x:c r="C30" s="26" t="str">
        <x:v>https://www.google.com/search?q=%22Korea%20University%22%20%22PhD%20position%22%20%22medicinal%20chemistry%22</x:v>
      </x:c>
      <x:c r="D30" s="26" t="str">
        <x:v>FindAPhD, EURAXESS, Academic Positions, jobs.ac.uk, Nature Careers, JREC-IN Portal, JSPS, MEXT, Study in Korea, university job pages, faculty lab websites</x:v>
      </x:c>
      <x:c r="E30" s="26" t="str">
        <x:v>PhD advert</x:v>
      </x:c>
      <x:c r="F30" s="26" t="str">
        <x:v>Review official pages first; paste final source URL into Leads.</x:v>
      </x:c>
    </x:row>
    <x:row r="31">
      <x:c r="A31" s="26" t="str">
        <x:v>Weekly</x:v>
      </x:c>
      <x:c r="B31" s="26" t="str">
        <x:v>"POSTECH" "PhD position" "medicinal chemistry"</x:v>
      </x:c>
      <x:c r="C31" s="26" t="str">
        <x:v>https://www.google.com/search?q=%22POSTECH%22%20%22PhD%20position%22%20%22medicinal%20chemistry%22</x:v>
      </x:c>
      <x:c r="D31" s="26" t="str">
        <x:v>FindAPhD, EURAXESS, Academic Positions, jobs.ac.uk, Nature Careers, JREC-IN Portal, JSPS, MEXT, Study in Korea, university job pages, faculty lab websites</x:v>
      </x:c>
      <x:c r="E31" s="26" t="str">
        <x:v>PhD advert</x:v>
      </x:c>
      <x:c r="F31" s="26" t="str">
        <x:v>Review official pages first; paste final source URL into Leads.</x:v>
      </x:c>
    </x:row>
    <x:row r="32">
      <x:c r="A32" s="26" t="str">
        <x:v>Weekly</x:v>
      </x:c>
      <x:c r="B32" s="26" t="str">
        <x:v>"Sungkyunkwan University" "PhD position" "medicinal chemistry"</x:v>
      </x:c>
      <x:c r="C32" s="26" t="str">
        <x:v>https://www.google.com/search?q=%22Sungkyunkwan%20University%22%20%22PhD%20position%22%20%22medicinal%20chemistry%22</x:v>
      </x:c>
      <x:c r="D32" s="26" t="str">
        <x:v>FindAPhD, EURAXESS, Academic Positions, jobs.ac.uk, Nature Careers, JREC-IN Portal, JSPS, MEXT, Study in Korea, university job pages, faculty lab websites</x:v>
      </x:c>
      <x:c r="E32" s="26" t="str">
        <x:v>PhD advert</x:v>
      </x:c>
      <x:c r="F32" s="26" t="str">
        <x:v>Review official pages first; paste final source URL into Leads.</x:v>
      </x:c>
    </x:row>
    <x:row r="33">
      <x:c r="A33" s="26" t="str">
        <x:v>Weekly</x:v>
      </x:c>
      <x:c r="B33" s="26" t="str">
        <x:v>"Hanyang University" "PhD position" "medicinal chemistry"</x:v>
      </x:c>
      <x:c r="C33" s="26" t="str">
        <x:v>https://www.google.com/search?q=%22Hanyang%20University%22%20%22PhD%20position%22%20%22medicinal%20chemistry%22</x:v>
      </x:c>
      <x:c r="D33" s="26" t="str">
        <x:v>FindAPhD, EURAXESS, Academic Positions, jobs.ac.uk, Nature Careers, JREC-IN Portal, JSPS, MEXT, Study in Korea, university job pages, faculty lab websites</x:v>
      </x:c>
      <x:c r="E33" s="26" t="str">
        <x:v>PhD advert</x:v>
      </x:c>
      <x:c r="F33" s="26" t="str">
        <x:v>Review official pages first; paste final source URL into Leads.</x:v>
      </x:c>
    </x:row>
    <x:row r="34">
      <x:c r="A34" s="26" t="str">
        <x:v>Weekly</x:v>
      </x:c>
      <x:c r="B34" s="26" t="str">
        <x:v>"Ulsan National Institute of Science and Technology" "PhD position" "medicinal chemistry"</x:v>
      </x:c>
      <x:c r="C34" s="26" t="str">
        <x:v>https://www.google.com/search?q=%22Ulsan%20National%20Institute%20of%20Science%20and%20Technology%22%20%22PhD%20position%22%20%22medicinal%20chemistry%22</x:v>
      </x:c>
      <x:c r="D34" s="26" t="str">
        <x:v>FindAPhD, EURAXESS, Academic Positions, jobs.ac.uk, Nature Careers, JREC-IN Portal, JSPS, MEXT, Study in Korea, university job pages, faculty lab websites</x:v>
      </x:c>
      <x:c r="E34" s="26" t="str">
        <x:v>PhD advert</x:v>
      </x:c>
      <x:c r="F34" s="26" t="str">
        <x:v>Review official pages first; paste final source URL into Leads.</x:v>
      </x:c>
    </x:row>
    <x:row r="35">
      <x:c r="A35" s="26" t="str">
        <x:v>Weekly</x:v>
      </x:c>
      <x:c r="B35" s="26" t="str">
        <x:v>"GIST" "PhD position" "medicinal chemistry"</x:v>
      </x:c>
      <x:c r="C35" s="26" t="str">
        <x:v>https://www.google.com/search?q=%22GIST%22%20%22PhD%20position%22%20%22medicinal%20chemistry%22</x:v>
      </x:c>
      <x:c r="D35" s="26" t="str">
        <x:v>FindAPhD, EURAXESS, Academic Positions, jobs.ac.uk, Nature Careers, JREC-IN Portal, JSPS, MEXT, Study in Korea, university job pages, faculty lab websites</x:v>
      </x:c>
      <x:c r="E35" s="26" t="str">
        <x:v>PhD advert</x:v>
      </x:c>
      <x:c r="F35" s="26" t="str">
        <x:v>Review official pages first; paste final source URL into Leads.</x:v>
      </x:c>
    </x:row>
    <x:row r="36">
      <x:c r="A36" s="26" t="str">
        <x:v>Weekly</x:v>
      </x:c>
      <x:c r="B36" s="26" t="str">
        <x:v>"Kyung Hee University" "PhD position" "medicinal chemistry"</x:v>
      </x:c>
      <x:c r="C36" s="26" t="str">
        <x:v>https://www.google.com/search?q=%22Kyung%20Hee%20University%22%20%22PhD%20position%22%20%22medicinal%20chemistry%22</x:v>
      </x:c>
      <x:c r="D36" s="26" t="str">
        <x:v>FindAPhD, EURAXESS, Academic Positions, jobs.ac.uk, Nature Careers, JREC-IN Portal, JSPS, MEXT, Study in Korea, university job pages, faculty lab websites</x:v>
      </x:c>
      <x:c r="E36" s="26" t="str">
        <x:v>PhD advert</x:v>
      </x:c>
      <x:c r="F36" s="26" t="str">
        <x:v>Review official pages first; paste final source URL into Leads.</x:v>
      </x:c>
    </x:row>
    <x:row r="37">
      <x:c r="A37" s="26" t="str">
        <x:v>Weekly</x:v>
      </x:c>
      <x:c r="B37" s="26" t="str">
        <x:v>"University of Tokyo" "PhD position" "medicinal chemistry"</x:v>
      </x:c>
      <x:c r="C37" s="26" t="str">
        <x:v>https://www.google.com/search?q=%22University%20of%20Tokyo%22%20%22PhD%20position%22%20%22medicinal%20chemistry%22</x:v>
      </x:c>
      <x:c r="D37" s="26" t="str">
        <x:v>FindAPhD, EURAXESS, Academic Positions, jobs.ac.uk, Nature Careers, JREC-IN Portal, JSPS, MEXT, Study in Korea, university job pages, faculty lab websites</x:v>
      </x:c>
      <x:c r="E37" s="26" t="str">
        <x:v>PhD advert</x:v>
      </x:c>
      <x:c r="F37" s="26" t="str">
        <x:v>Review official pages first; paste final source URL into Leads.</x:v>
      </x:c>
    </x:row>
    <x:row r="38">
      <x:c r="A38" s="26" t="str">
        <x:v>Weekly</x:v>
      </x:c>
      <x:c r="B38" s="26" t="str">
        <x:v>"Kyoto University" "PhD position" "medicinal chemistry"</x:v>
      </x:c>
      <x:c r="C38" s="26" t="str">
        <x:v>https://www.google.com/search?q=%22Kyoto%20University%22%20%22PhD%20position%22%20%22medicinal%20chemistry%22</x:v>
      </x:c>
      <x:c r="D38" s="26" t="str">
        <x:v>FindAPhD, EURAXESS, Academic Positions, jobs.ac.uk, Nature Careers, JREC-IN Portal, JSPS, MEXT, Study in Korea, university job pages, faculty lab websites</x:v>
      </x:c>
      <x:c r="E38" s="26" t="str">
        <x:v>PhD advert</x:v>
      </x:c>
      <x:c r="F38" s="26" t="str">
        <x:v>Review official pages first; paste final source URL into Leads.</x:v>
      </x:c>
    </x:row>
    <x:row r="39">
      <x:c r="A39" s="26" t="str">
        <x:v>Weekly</x:v>
      </x:c>
      <x:c r="B39" s="26" t="str">
        <x:v>"Osaka University" "PhD position" "medicinal chemistry"</x:v>
      </x:c>
      <x:c r="C39" s="26" t="str">
        <x:v>https://www.google.com/search?q=%22Osaka%20University%22%20%22PhD%20position%22%20%22medicinal%20chemistry%22</x:v>
      </x:c>
      <x:c r="D39" s="26" t="str">
        <x:v>FindAPhD, EURAXESS, Academic Positions, jobs.ac.uk, Nature Careers, JREC-IN Portal, JSPS, MEXT, Study in Korea, university job pages, faculty lab websites</x:v>
      </x:c>
      <x:c r="E39" s="26" t="str">
        <x:v>PhD advert</x:v>
      </x:c>
      <x:c r="F39" s="26" t="str">
        <x:v>Review official pages first; paste final source URL into Leads.</x:v>
      </x:c>
    </x:row>
    <x:row r="40">
      <x:c r="A40" s="26" t="str">
        <x:v>Weekly</x:v>
      </x:c>
      <x:c r="B40" s="26" t="str">
        <x:v>"Tohoku University" "PhD position" "medicinal chemistry"</x:v>
      </x:c>
      <x:c r="C40" s="26" t="str">
        <x:v>https://www.google.com/search?q=%22Tohoku%20University%22%20%22PhD%20position%22%20%22medicinal%20chemistry%22</x:v>
      </x:c>
      <x:c r="D40" s="26" t="str">
        <x:v>FindAPhD, EURAXESS, Academic Positions, jobs.ac.uk, Nature Careers, JREC-IN Portal, JSPS, MEXT, Study in Korea, university job pages, faculty lab websites</x:v>
      </x:c>
      <x:c r="E40" s="26" t="str">
        <x:v>PhD advert</x:v>
      </x:c>
      <x:c r="F40" s="26" t="str">
        <x:v>Review official pages first; paste final source URL into Leads.</x:v>
      </x:c>
    </x:row>
    <x:row r="41">
      <x:c r="A41" s="26" t="str">
        <x:v>Weekly</x:v>
      </x:c>
      <x:c r="B41" s="26" t="str">
        <x:v>"Nagoya University" "PhD position" "medicinal chemistry"</x:v>
      </x:c>
      <x:c r="C41" s="26" t="str">
        <x:v>https://www.google.com/search?q=%22Nagoya%20University%22%20%22PhD%20position%22%20%22medicinal%20chemistry%22</x:v>
      </x:c>
      <x:c r="D41" s="26" t="str">
        <x:v>FindAPhD, EURAXESS, Academic Positions, jobs.ac.uk, Nature Careers, JREC-IN Portal, JSPS, MEXT, Study in Korea, university job pages, faculty lab websites</x:v>
      </x:c>
      <x:c r="E41" s="26" t="str">
        <x:v>PhD advert</x:v>
      </x:c>
      <x:c r="F41" s="26" t="str">
        <x:v>Review official pages first; paste final source URL into Leads.</x:v>
      </x:c>
    </x:row>
    <x:row r="42">
      <x:c r="A42" s="26" t="str">
        <x:v>Weekly</x:v>
      </x:c>
      <x:c r="B42" s="26" t="str">
        <x:v>"Kyushu University" "PhD position" "medicinal chemistry"</x:v>
      </x:c>
      <x:c r="C42" s="26" t="str">
        <x:v>https://www.google.com/search?q=%22Kyushu%20University%22%20%22PhD%20position%22%20%22medicinal%20chemistry%22</x:v>
      </x:c>
      <x:c r="D42" s="26" t="str">
        <x:v>FindAPhD, EURAXESS, Academic Positions, jobs.ac.uk, Nature Careers, JREC-IN Portal, JSPS, MEXT, Study in Korea, university job pages, faculty lab websites</x:v>
      </x:c>
      <x:c r="E42" s="26" t="str">
        <x:v>PhD advert</x:v>
      </x:c>
      <x:c r="F42" s="26" t="str">
        <x:v>Review official pages first; paste final source URL into Leads.</x:v>
      </x:c>
    </x:row>
    <x:row r="43">
      <x:c r="A43" s="26" t="str">
        <x:v>Weekly</x:v>
      </x:c>
      <x:c r="B43" s="26" t="str">
        <x:v>"Hokkaido University" "PhD position" "medicinal chemistry"</x:v>
      </x:c>
      <x:c r="C43" s="26" t="str">
        <x:v>https://www.google.com/search?q=%22Hokkaido%20University%22%20%22PhD%20position%22%20%22medicinal%20chemistry%22</x:v>
      </x:c>
      <x:c r="D43" s="26" t="str">
        <x:v>FindAPhD, EURAXESS, Academic Positions, jobs.ac.uk, Nature Careers, JREC-IN Portal, JSPS, MEXT, Study in Korea, university job pages, faculty lab websites</x:v>
      </x:c>
      <x:c r="E43" s="26" t="str">
        <x:v>PhD advert</x:v>
      </x:c>
      <x:c r="F43" s="26" t="str">
        <x:v>Review official pages first; paste final source URL into Leads.</x:v>
      </x:c>
    </x:row>
    <x:row r="44">
      <x:c r="A44" s="26" t="str">
        <x:v>Weekly</x:v>
      </x:c>
      <x:c r="B44" s="26" t="str">
        <x:v>"University of Tsukuba" "PhD position" "medicinal chemistry"</x:v>
      </x:c>
      <x:c r="C44" s="26" t="str">
        <x:v>https://www.google.com/search?q=%22University%20of%20Tsukuba%22%20%22PhD%20position%22%20%22medicinal%20chemistry%22</x:v>
      </x:c>
      <x:c r="D44" s="26" t="str">
        <x:v>FindAPhD, EURAXESS, Academic Positions, jobs.ac.uk, Nature Careers, JREC-IN Portal, JSPS, MEXT, Study in Korea, university job pages, faculty lab websites</x:v>
      </x:c>
      <x:c r="E44" s="26" t="str">
        <x:v>PhD advert</x:v>
      </x:c>
      <x:c r="F44" s="26" t="str">
        <x:v>Review official pages first; paste final source URL into Leads.</x:v>
      </x:c>
    </x:row>
    <x:row r="45">
      <x:c r="A45" s="26" t="str">
        <x:v>Weekly</x:v>
      </x:c>
      <x:c r="B45" s="26" t="str">
        <x:v>"Institute of Science Tokyo" "PhD position" "medicinal chemistry"</x:v>
      </x:c>
      <x:c r="C45" s="26" t="str">
        <x:v>https://www.google.com/search?q=%22Institute%20of%20Science%20Tokyo%22%20%22PhD%20position%22%20%22medicinal%20chemistry%22</x:v>
      </x:c>
      <x:c r="D45" s="26" t="str">
        <x:v>FindAPhD, EURAXESS, Academic Positions, jobs.ac.uk, Nature Careers, JREC-IN Portal, JSPS, MEXT, Study in Korea, university job pages, faculty lab websites</x:v>
      </x:c>
      <x:c r="E45" s="26" t="str">
        <x:v>PhD advert</x:v>
      </x:c>
      <x:c r="F45" s="26" t="str">
        <x:v>Review official pages first; paste final source URL into Leads.</x:v>
      </x:c>
    </x:row>
    <x:row r="46">
      <x:c r="A46" s="26" t="str">
        <x:v>Weekly</x:v>
      </x:c>
      <x:c r="B46" s="26" t="str">
        <x:v>"Okinawa Institute of Science and Technology" "PhD position" "medicinal chemistry"</x:v>
      </x:c>
      <x:c r="C46" s="26" t="str">
        <x:v>https://www.google.com/search?q=%22Okinawa%20Institute%20of%20Science%20and%20Technology%22%20%22PhD%20position%22%20%22medicinal%20chemistry%22</x:v>
      </x:c>
      <x:c r="D46" s="26" t="str">
        <x:v>FindAPhD, EURAXESS, Academic Positions, jobs.ac.uk, Nature Careers, JREC-IN Portal, JSPS, MEXT, Study in Korea, university job pages, faculty lab websites</x:v>
      </x:c>
      <x:c r="E46" s="26" t="str">
        <x:v>PhD advert</x:v>
      </x:c>
      <x:c r="F46" s="26" t="str">
        <x:v>Review official pages first; paste final source URL into Leads.</x:v>
      </x:c>
    </x:row>
    <x:row r="47">
      <x:c r="A47" s="26" t="str">
        <x:v>Weekly</x:v>
      </x:c>
      <x:c r="B47" s="26" t="str">
        <x:v>"University of Oxford" "health informatics" "PhD"</x:v>
      </x:c>
      <x:c r="C47" s="26" t="str">
        <x:v>https://www.google.com/search?q=%22University%20of%20Oxford%22%20%22health%20informatics%22%20%22PhD%22</x:v>
      </x:c>
      <x:c r="D47" s="26" t="str">
        <x:v>FindAPhD, EURAXESS, Academic Positions, jobs.ac.uk, Nature Careers, JREC-IN Portal, JSPS, MEXT, Study in Korea, university job pages, faculty lab websites</x:v>
      </x:c>
      <x:c r="E47" s="26" t="str">
        <x:v>PhD advert</x:v>
      </x:c>
      <x:c r="F47" s="26" t="str">
        <x:v>Review official pages first; paste final source URL into Leads.</x:v>
      </x:c>
    </x:row>
    <x:row r="48">
      <x:c r="A48" s="26" t="str">
        <x:v>Weekly</x:v>
      </x:c>
      <x:c r="B48" s="26" t="str">
        <x:v>"University of Cambridge" "health informatics" "PhD"</x:v>
      </x:c>
      <x:c r="C48" s="26" t="str">
        <x:v>https://www.google.com/search?q=%22University%20of%20Cambridge%22%20%22health%20informatics%22%20%22PhD%22</x:v>
      </x:c>
      <x:c r="D48" s="26" t="str">
        <x:v>FindAPhD, EURAXESS, Academic Positions, jobs.ac.uk, Nature Careers, JREC-IN Portal, JSPS, MEXT, Study in Korea, university job pages, faculty lab websites</x:v>
      </x:c>
      <x:c r="E48" s="26" t="str">
        <x:v>PhD advert</x:v>
      </x:c>
      <x:c r="F48" s="26" t="str">
        <x:v>Review official pages first; paste final source URL into Leads.</x:v>
      </x:c>
    </x:row>
    <x:row r="49">
      <x:c r="A49" s="26" t="str">
        <x:v>Weekly</x:v>
      </x:c>
      <x:c r="B49" s="26" t="str">
        <x:v>"University of Toronto" "health informatics" "PhD"</x:v>
      </x:c>
      <x:c r="C49" s="26" t="str">
        <x:v>https://www.google.com/search?q=%22University%20of%20Toronto%22%20%22health%20informatics%22%20%22PhD%22</x:v>
      </x:c>
      <x:c r="D49" s="26" t="str">
        <x:v>FindAPhD, EURAXESS, Academic Positions, jobs.ac.uk, Nature Careers, JREC-IN Portal, JSPS, MEXT, Study in Korea, university job pages, faculty lab websites</x:v>
      </x:c>
      <x:c r="E49" s="26" t="str">
        <x:v>PhD advert</x:v>
      </x:c>
      <x:c r="F49" s="26" t="str">
        <x:v>Review official pages first; paste final source URL into Leads.</x:v>
      </x:c>
    </x:row>
    <x:row r="50">
      <x:c r="A50" s="26" t="str">
        <x:v>Weekly</x:v>
      </x:c>
      <x:c r="B50" s="26" t="str">
        <x:v>"University of Michigan" "health informatics" "PhD"</x:v>
      </x:c>
      <x:c r="C50" s="26" t="str">
        <x:v>https://www.google.com/search?q=%22University%20of%20Michigan%22%20%22health%20informatics%22%20%22PhD%22</x:v>
      </x:c>
      <x:c r="D50" s="26" t="str">
        <x:v>FindAPhD, EURAXESS, Academic Positions, jobs.ac.uk, Nature Careers, JREC-IN Portal, JSPS, MEXT, Study in Korea, university job pages, faculty lab websites</x:v>
      </x:c>
      <x:c r="E50" s="26" t="str">
        <x:v>PhD advert</x:v>
      </x:c>
      <x:c r="F50" s="26" t="str">
        <x:v>Review official pages first; paste final source URL into Leads.</x:v>
      </x:c>
    </x:row>
    <x:row r="51">
      <x:c r="A51" s="26" t="str">
        <x:v>Weekly</x:v>
      </x:c>
      <x:c r="B51" s="26" t="str">
        <x:v>"Nantes Universite" "health informatics" "PhD"</x:v>
      </x:c>
      <x:c r="C51" s="26" t="str">
        <x:v>https://www.google.com/search?q=%22Nantes%20Universite%22%20%22health%20informatics%22%20%22PhD%22</x:v>
      </x:c>
      <x:c r="D51" s="26" t="str">
        <x:v>FindAPhD, EURAXESS, Academic Positions, jobs.ac.uk, Nature Careers, JREC-IN Portal, JSPS, MEXT, Study in Korea, university job pages, faculty lab websites</x:v>
      </x:c>
      <x:c r="E51" s="26" t="str">
        <x:v>PhD advert</x:v>
      </x:c>
      <x:c r="F51" s="26" t="str">
        <x:v>Review official pages first; paste final source URL into Leads.</x:v>
      </x:c>
    </x:row>
    <x:row r="52">
      <x:c r="A52" s="26" t="str">
        <x:v>Weekly</x:v>
      </x:c>
      <x:c r="B52" s="26" t="str">
        <x:v>"McGill University" "health informatics" "PhD"</x:v>
      </x:c>
      <x:c r="C52" s="26" t="str">
        <x:v>https://www.google.com/search?q=%22McGill%20University%22%20%22health%20informatics%22%20%22PhD%22</x:v>
      </x:c>
      <x:c r="D52" s="26" t="str">
        <x:v>FindAPhD, EURAXESS, Academic Positions, jobs.ac.uk, Nature Careers, JREC-IN Portal, JSPS, MEXT, Study in Korea, university job pages, faculty lab websites</x:v>
      </x:c>
      <x:c r="E52" s="26" t="str">
        <x:v>PhD advert</x:v>
      </x:c>
      <x:c r="F52" s="26" t="str">
        <x:v>Review official pages first; paste final source URL into Leads.</x:v>
      </x:c>
    </x:row>
    <x:row r="53">
      <x:c r="A53" s="26" t="str">
        <x:v>Weekly</x:v>
      </x:c>
      <x:c r="B53" s="26" t="str">
        <x:v>"University of British Columbia" "health informatics" "PhD"</x:v>
      </x:c>
      <x:c r="C53" s="26" t="str">
        <x:v>https://www.google.com/search?q=%22University%20of%20British%20Columbia%22%20%22health%20informatics%22%20%22PhD%22</x:v>
      </x:c>
      <x:c r="D53" s="26" t="str">
        <x:v>FindAPhD, EURAXESS, Academic Positions, jobs.ac.uk, Nature Careers, JREC-IN Portal, JSPS, MEXT, Study in Korea, university job pages, faculty lab websites</x:v>
      </x:c>
      <x:c r="E53" s="26" t="str">
        <x:v>PhD advert</x:v>
      </x:c>
      <x:c r="F53" s="26" t="str">
        <x:v>Review official pages first; paste final source URL into Leads.</x:v>
      </x:c>
    </x:row>
    <x:row r="54">
      <x:c r="A54" s="26" t="str">
        <x:v>Weekly</x:v>
      </x:c>
      <x:c r="B54" s="26" t="str">
        <x:v>"Johns Hopkins University" "health informatics" "PhD"</x:v>
      </x:c>
      <x:c r="C54" s="26" t="str">
        <x:v>https://www.google.com/search?q=%22Johns%20Hopkins%20University%22%20%22health%20informatics%22%20%22PhD%22</x:v>
      </x:c>
      <x:c r="D54" s="26" t="str">
        <x:v>FindAPhD, EURAXESS, Academic Positions, jobs.ac.uk, Nature Careers, JREC-IN Portal, JSPS, MEXT, Study in Korea, university job pages, faculty lab websites</x:v>
      </x:c>
      <x:c r="E54" s="26" t="str">
        <x:v>PhD advert</x:v>
      </x:c>
      <x:c r="F54" s="26" t="str">
        <x:v>Review official pages first; paste final source URL into Leads.</x:v>
      </x:c>
    </x:row>
    <x:row r="55">
      <x:c r="A55" s="26" t="str">
        <x:v>Weekly</x:v>
      </x:c>
      <x:c r="B55" s="26" t="str">
        <x:v>"University College London" "health informatics" "PhD"</x:v>
      </x:c>
      <x:c r="C55" s="26" t="str">
        <x:v>https://www.google.com/search?q=%22University%20College%20London%22%20%22health%20informatics%22%20%22PhD%22</x:v>
      </x:c>
      <x:c r="D55" s="26" t="str">
        <x:v>FindAPhD, EURAXESS, Academic Positions, jobs.ac.uk, Nature Careers, JREC-IN Portal, JSPS, MEXT, Study in Korea, university job pages, faculty lab websites</x:v>
      </x:c>
      <x:c r="E55" s="26" t="str">
        <x:v>PhD advert</x:v>
      </x:c>
      <x:c r="F55" s="26" t="str">
        <x:v>Review official pages first; paste final source URL into Leads.</x:v>
      </x:c>
    </x:row>
    <x:row r="56">
      <x:c r="A56" s="26" t="str">
        <x:v>Weekly</x:v>
      </x:c>
      <x:c r="B56" s="26" t="str">
        <x:v>"Imperial College London" "health informatics" "PhD"</x:v>
      </x:c>
      <x:c r="C56" s="26" t="str">
        <x:v>https://www.google.com/search?q=%22Imperial%20College%20London%22%20%22health%20informatics%22%20%22PhD%22</x:v>
      </x:c>
      <x:c r="D56" s="26" t="str">
        <x:v>FindAPhD, EURAXESS, Academic Positions, jobs.ac.uk, Nature Careers, JREC-IN Portal, JSPS, MEXT, Study in Korea, university job pages, faculty lab websites</x:v>
      </x:c>
      <x:c r="E56" s="26" t="str">
        <x:v>PhD advert</x:v>
      </x:c>
      <x:c r="F56" s="26" t="str">
        <x:v>Review official pages first; paste final source URL into Leads.</x:v>
      </x:c>
    </x:row>
    <x:row r="57">
      <x:c r="A57" s="26" t="str">
        <x:v>Weekly</x:v>
      </x:c>
      <x:c r="B57" s="26" t="str">
        <x:v>"Karolinska Institutet" "health informatics" "PhD"</x:v>
      </x:c>
      <x:c r="C57" s="26" t="str">
        <x:v>https://www.google.com/search?q=%22Karolinska%20Institutet%22%20%22health%20informatics%22%20%22PhD%22</x:v>
      </x:c>
      <x:c r="D57" s="26" t="str">
        <x:v>FindAPhD, EURAXESS, Academic Positions, jobs.ac.uk, Nature Careers, JREC-IN Portal, JSPS, MEXT, Study in Korea, university job pages, faculty lab websites</x:v>
      </x:c>
      <x:c r="E57" s="26" t="str">
        <x:v>PhD advert</x:v>
      </x:c>
      <x:c r="F57" s="26" t="str">
        <x:v>Review official pages first; paste final source URL into Leads.</x:v>
      </x:c>
    </x:row>
    <x:row r="58">
      <x:c r="A58" s="26" t="str">
        <x:v>Weekly</x:v>
      </x:c>
      <x:c r="B58" s="26" t="str">
        <x:v>"ETH Zurich" "health informatics" "PhD"</x:v>
      </x:c>
      <x:c r="C58" s="26" t="str">
        <x:v>https://www.google.com/search?q=%22ETH%20Zurich%22%20%22health%20informatics%22%20%22PhD%22</x:v>
      </x:c>
      <x:c r="D58" s="26" t="str">
        <x:v>FindAPhD, EURAXESS, Academic Positions, jobs.ac.uk, Nature Careers, JREC-IN Portal, JSPS, MEXT, Study in Korea, university job pages, faculty lab websites</x:v>
      </x:c>
      <x:c r="E58" s="26" t="str">
        <x:v>PhD advert</x:v>
      </x:c>
      <x:c r="F58" s="26" t="str">
        <x:v>Review official pages first; paste final source URL into Leads.</x:v>
      </x:c>
    </x:row>
    <x:row r="59">
      <x:c r="A59" s="26" t="str">
        <x:v>Weekly</x:v>
      </x:c>
      <x:c r="B59" s="26" t="str">
        <x:v>"Seoul National University" "health informatics" "PhD"</x:v>
      </x:c>
      <x:c r="C59" s="26" t="str">
        <x:v>https://www.google.com/search?q=%22Seoul%20National%20University%22%20%22health%20informatics%22%20%22PhD%22</x:v>
      </x:c>
      <x:c r="D59" s="26" t="str">
        <x:v>FindAPhD, EURAXESS, Academic Positions, jobs.ac.uk, Nature Careers, JREC-IN Portal, JSPS, MEXT, Study in Korea, university job pages, faculty lab websites</x:v>
      </x:c>
      <x:c r="E59" s="26" t="str">
        <x:v>PhD advert</x:v>
      </x:c>
      <x:c r="F59" s="26" t="str">
        <x:v>Review official pages first; paste final source URL into Leads.</x:v>
      </x:c>
    </x:row>
    <x:row r="60">
      <x:c r="A60" s="26" t="str">
        <x:v>Weekly</x:v>
      </x:c>
      <x:c r="B60" s="26" t="str">
        <x:v>"KAIST" "health informatics" "PhD"</x:v>
      </x:c>
      <x:c r="C60" s="26" t="str">
        <x:v>https://www.google.com/search?q=%22KAIST%22%20%22health%20informatics%22%20%22PhD%22</x:v>
      </x:c>
      <x:c r="D60" s="26" t="str">
        <x:v>FindAPhD, EURAXESS, Academic Positions, jobs.ac.uk, Nature Careers, JREC-IN Portal, JSPS, MEXT, Study in Korea, university job pages, faculty lab websites</x:v>
      </x:c>
      <x:c r="E60" s="26" t="str">
        <x:v>PhD advert</x:v>
      </x:c>
      <x:c r="F60" s="26" t="str">
        <x:v>Review official pages first; paste final source URL into Leads.</x:v>
      </x:c>
    </x:row>
    <x:row r="61">
      <x:c r="A61" s="26" t="str">
        <x:v>Weekly</x:v>
      </x:c>
      <x:c r="B61" s="26" t="str">
        <x:v>"Yonsei University" "health informatics" "PhD"</x:v>
      </x:c>
      <x:c r="C61" s="26" t="str">
        <x:v>https://www.google.com/search?q=%22Yonsei%20University%22%20%22health%20informatics%22%20%22PhD%22</x:v>
      </x:c>
      <x:c r="D61" s="26" t="str">
        <x:v>FindAPhD, EURAXESS, Academic Positions, jobs.ac.uk, Nature Careers, JREC-IN Portal, JSPS, MEXT, Study in Korea, university job pages, faculty lab websites</x:v>
      </x:c>
      <x:c r="E61" s="26" t="str">
        <x:v>PhD advert</x:v>
      </x:c>
      <x:c r="F61" s="26" t="str">
        <x:v>Review official pages first; paste final source URL into Leads.</x:v>
      </x:c>
    </x:row>
    <x:row r="62">
      <x:c r="A62" s="26" t="str">
        <x:v>Weekly</x:v>
      </x:c>
      <x:c r="B62" s="26" t="str">
        <x:v>"Korea University" "health informatics" "PhD"</x:v>
      </x:c>
      <x:c r="C62" s="26" t="str">
        <x:v>https://www.google.com/search?q=%22Korea%20University%22%20%22health%20informatics%22%20%22PhD%22</x:v>
      </x:c>
      <x:c r="D62" s="26" t="str">
        <x:v>FindAPhD, EURAXESS, Academic Positions, jobs.ac.uk, Nature Careers, JREC-IN Portal, JSPS, MEXT, Study in Korea, university job pages, faculty lab websites</x:v>
      </x:c>
      <x:c r="E62" s="26" t="str">
        <x:v>PhD advert</x:v>
      </x:c>
      <x:c r="F62" s="26" t="str">
        <x:v>Review official pages first; paste final source URL into Leads.</x:v>
      </x:c>
    </x:row>
    <x:row r="63">
      <x:c r="A63" s="26" t="str">
        <x:v>Weekly</x:v>
      </x:c>
      <x:c r="B63" s="26" t="str">
        <x:v>"POSTECH" "health informatics" "PhD"</x:v>
      </x:c>
      <x:c r="C63" s="26" t="str">
        <x:v>https://www.google.com/search?q=%22POSTECH%22%20%22health%20informatics%22%20%22PhD%22</x:v>
      </x:c>
      <x:c r="D63" s="26" t="str">
        <x:v>FindAPhD, EURAXESS, Academic Positions, jobs.ac.uk, Nature Careers, JREC-IN Portal, JSPS, MEXT, Study in Korea, university job pages, faculty lab websites</x:v>
      </x:c>
      <x:c r="E63" s="26" t="str">
        <x:v>PhD advert</x:v>
      </x:c>
      <x:c r="F63" s="26" t="str">
        <x:v>Review official pages first; paste final source URL into Leads.</x:v>
      </x:c>
    </x:row>
    <x:row r="64">
      <x:c r="A64" s="26" t="str">
        <x:v>Weekly</x:v>
      </x:c>
      <x:c r="B64" s="26" t="str">
        <x:v>"Sungkyunkwan University" "health informatics" "PhD"</x:v>
      </x:c>
      <x:c r="C64" s="26" t="str">
        <x:v>https://www.google.com/search?q=%22Sungkyunkwan%20University%22%20%22health%20informatics%22%20%22PhD%22</x:v>
      </x:c>
      <x:c r="D64" s="26" t="str">
        <x:v>FindAPhD, EURAXESS, Academic Positions, jobs.ac.uk, Nature Careers, JREC-IN Portal, JSPS, MEXT, Study in Korea, university job pages, faculty lab websites</x:v>
      </x:c>
      <x:c r="E64" s="26" t="str">
        <x:v>PhD advert</x:v>
      </x:c>
      <x:c r="F64" s="26" t="str">
        <x:v>Review official pages first; paste final source URL into Leads.</x:v>
      </x:c>
    </x:row>
    <x:row r="65">
      <x:c r="A65" s="26" t="str">
        <x:v>Weekly</x:v>
      </x:c>
      <x:c r="B65" s="26" t="str">
        <x:v>"Hanyang University" "health informatics" "PhD"</x:v>
      </x:c>
      <x:c r="C65" s="26" t="str">
        <x:v>https://www.google.com/search?q=%22Hanyang%20University%22%20%22health%20informatics%22%20%22PhD%22</x:v>
      </x:c>
      <x:c r="D65" s="26" t="str">
        <x:v>FindAPhD, EURAXESS, Academic Positions, jobs.ac.uk, Nature Careers, JREC-IN Portal, JSPS, MEXT, Study in Korea, university job pages, faculty lab websites</x:v>
      </x:c>
      <x:c r="E65" s="26" t="str">
        <x:v>PhD advert</x:v>
      </x:c>
      <x:c r="F65" s="26" t="str">
        <x:v>Review official pages first; paste final source URL into Leads.</x:v>
      </x:c>
    </x:row>
    <x:row r="66">
      <x:c r="A66" s="26" t="str">
        <x:v>Weekly</x:v>
      </x:c>
      <x:c r="B66" s="26" t="str">
        <x:v>"Ulsan National Institute of Science and Technology" "health informatics" "PhD"</x:v>
      </x:c>
      <x:c r="C66" s="26" t="str">
        <x:v>https://www.google.com/search?q=%22Ulsan%20National%20Institute%20of%20Science%20and%20Technology%22%20%22health%20informatics%22%20%22PhD%22</x:v>
      </x:c>
      <x:c r="D66" s="26" t="str">
        <x:v>FindAPhD, EURAXESS, Academic Positions, jobs.ac.uk, Nature Careers, JREC-IN Portal, JSPS, MEXT, Study in Korea, university job pages, faculty lab websites</x:v>
      </x:c>
      <x:c r="E66" s="26" t="str">
        <x:v>PhD advert</x:v>
      </x:c>
      <x:c r="F66" s="26" t="str">
        <x:v>Review official pages first; paste final source URL into Leads.</x:v>
      </x:c>
    </x:row>
    <x:row r="67">
      <x:c r="A67" s="26" t="str">
        <x:v>Weekly</x:v>
      </x:c>
      <x:c r="B67" s="26" t="str">
        <x:v>"GIST" "health informatics" "PhD"</x:v>
      </x:c>
      <x:c r="C67" s="26" t="str">
        <x:v>https://www.google.com/search?q=%22GIST%22%20%22health%20informatics%22%20%22PhD%22</x:v>
      </x:c>
      <x:c r="D67" s="26" t="str">
        <x:v>FindAPhD, EURAXESS, Academic Positions, jobs.ac.uk, Nature Careers, JREC-IN Portal, JSPS, MEXT, Study in Korea, university job pages, faculty lab websites</x:v>
      </x:c>
      <x:c r="E67" s="26" t="str">
        <x:v>PhD advert</x:v>
      </x:c>
      <x:c r="F67" s="26" t="str">
        <x:v>Review official pages first; paste final source URL into Leads.</x:v>
      </x:c>
    </x:row>
    <x:row r="68">
      <x:c r="A68" s="26" t="str">
        <x:v>Weekly</x:v>
      </x:c>
      <x:c r="B68" s="26" t="str">
        <x:v>"Kyung Hee University" "health informatics" "PhD"</x:v>
      </x:c>
      <x:c r="C68" s="26" t="str">
        <x:v>https://www.google.com/search?q=%22Kyung%20Hee%20University%22%20%22health%20informatics%22%20%22PhD%22</x:v>
      </x:c>
      <x:c r="D68" s="26" t="str">
        <x:v>FindAPhD, EURAXESS, Academic Positions, jobs.ac.uk, Nature Careers, JREC-IN Portal, JSPS, MEXT, Study in Korea, university job pages, faculty lab websites</x:v>
      </x:c>
      <x:c r="E68" s="26" t="str">
        <x:v>PhD advert</x:v>
      </x:c>
      <x:c r="F68" s="26" t="str">
        <x:v>Review official pages first; paste final source URL into Leads.</x:v>
      </x:c>
    </x:row>
    <x:row r="69">
      <x:c r="A69" s="26" t="str">
        <x:v>Weekly</x:v>
      </x:c>
      <x:c r="B69" s="26" t="str">
        <x:v>"University of Tokyo" "health informatics" "PhD"</x:v>
      </x:c>
      <x:c r="C69" s="26" t="str">
        <x:v>https://www.google.com/search?q=%22University%20of%20Tokyo%22%20%22health%20informatics%22%20%22PhD%22</x:v>
      </x:c>
      <x:c r="D69" s="26" t="str">
        <x:v>FindAPhD, EURAXESS, Academic Positions, jobs.ac.uk, Nature Careers, JREC-IN Portal, JSPS, MEXT, Study in Korea, university job pages, faculty lab websites</x:v>
      </x:c>
      <x:c r="E69" s="26" t="str">
        <x:v>PhD advert</x:v>
      </x:c>
      <x:c r="F69" s="26" t="str">
        <x:v>Review official pages first; paste final source URL into Leads.</x:v>
      </x:c>
    </x:row>
    <x:row r="70">
      <x:c r="A70" s="26" t="str">
        <x:v>Weekly</x:v>
      </x:c>
      <x:c r="B70" s="26" t="str">
        <x:v>"Kyoto University" "health informatics" "PhD"</x:v>
      </x:c>
      <x:c r="C70" s="26" t="str">
        <x:v>https://www.google.com/search?q=%22Kyoto%20University%22%20%22health%20informatics%22%20%22PhD%22</x:v>
      </x:c>
      <x:c r="D70" s="26" t="str">
        <x:v>FindAPhD, EURAXESS, Academic Positions, jobs.ac.uk, Nature Careers, JREC-IN Portal, JSPS, MEXT, Study in Korea, university job pages, faculty lab websites</x:v>
      </x:c>
      <x:c r="E70" s="26" t="str">
        <x:v>PhD advert</x:v>
      </x:c>
      <x:c r="F70" s="26" t="str">
        <x:v>Review official pages first; paste final source URL into Leads.</x:v>
      </x:c>
    </x:row>
    <x:row r="71">
      <x:c r="A71" s="26" t="str">
        <x:v>Weekly</x:v>
      </x:c>
      <x:c r="B71" s="26" t="str">
        <x:v>"Osaka University" "health informatics" "PhD"</x:v>
      </x:c>
      <x:c r="C71" s="26" t="str">
        <x:v>https://www.google.com/search?q=%22Osaka%20University%22%20%22health%20informatics%22%20%22PhD%22</x:v>
      </x:c>
      <x:c r="D71" s="26" t="str">
        <x:v>FindAPhD, EURAXESS, Academic Positions, jobs.ac.uk, Nature Careers, JREC-IN Portal, JSPS, MEXT, Study in Korea, university job pages, faculty lab websites</x:v>
      </x:c>
      <x:c r="E71" s="26" t="str">
        <x:v>PhD advert</x:v>
      </x:c>
      <x:c r="F71" s="26" t="str">
        <x:v>Review official pages first; paste final source URL into Leads.</x:v>
      </x:c>
    </x:row>
    <x:row r="72">
      <x:c r="A72" s="26" t="str">
        <x:v>Weekly</x:v>
      </x:c>
      <x:c r="B72" s="26" t="str">
        <x:v>"Tohoku University" "health informatics" "PhD"</x:v>
      </x:c>
      <x:c r="C72" s="26" t="str">
        <x:v>https://www.google.com/search?q=%22Tohoku%20University%22%20%22health%20informatics%22%20%22PhD%22</x:v>
      </x:c>
      <x:c r="D72" s="26" t="str">
        <x:v>FindAPhD, EURAXESS, Academic Positions, jobs.ac.uk, Nature Careers, JREC-IN Portal, JSPS, MEXT, Study in Korea, university job pages, faculty lab websites</x:v>
      </x:c>
      <x:c r="E72" s="26" t="str">
        <x:v>PhD advert</x:v>
      </x:c>
      <x:c r="F72" s="26" t="str">
        <x:v>Review official pages first; paste final source URL into Leads.</x:v>
      </x:c>
    </x:row>
    <x:row r="73">
      <x:c r="A73" s="26" t="str">
        <x:v>Weekly</x:v>
      </x:c>
      <x:c r="B73" s="26" t="str">
        <x:v>"Nagoya University" "health informatics" "PhD"</x:v>
      </x:c>
      <x:c r="C73" s="26" t="str">
        <x:v>https://www.google.com/search?q=%22Nagoya%20University%22%20%22health%20informatics%22%20%22PhD%22</x:v>
      </x:c>
      <x:c r="D73" s="26" t="str">
        <x:v>FindAPhD, EURAXESS, Academic Positions, jobs.ac.uk, Nature Careers, JREC-IN Portal, JSPS, MEXT, Study in Korea, university job pages, faculty lab websites</x:v>
      </x:c>
      <x:c r="E73" s="26" t="str">
        <x:v>PhD advert</x:v>
      </x:c>
      <x:c r="F73" s="26" t="str">
        <x:v>Review official pages first; paste final source URL into Leads.</x:v>
      </x:c>
    </x:row>
    <x:row r="74">
      <x:c r="A74" s="26" t="str">
        <x:v>Weekly</x:v>
      </x:c>
      <x:c r="B74" s="26" t="str">
        <x:v>"Kyushu University" "health informatics" "PhD"</x:v>
      </x:c>
      <x:c r="C74" s="26" t="str">
        <x:v>https://www.google.com/search?q=%22Kyushu%20University%22%20%22health%20informatics%22%20%22PhD%22</x:v>
      </x:c>
      <x:c r="D74" s="26" t="str">
        <x:v>FindAPhD, EURAXESS, Academic Positions, jobs.ac.uk, Nature Careers, JREC-IN Portal, JSPS, MEXT, Study in Korea, university job pages, faculty lab websites</x:v>
      </x:c>
      <x:c r="E74" s="26" t="str">
        <x:v>PhD advert</x:v>
      </x:c>
      <x:c r="F74" s="26" t="str">
        <x:v>Review official pages first; paste final source URL into Leads.</x:v>
      </x:c>
    </x:row>
    <x:row r="75">
      <x:c r="A75" s="26" t="str">
        <x:v>Weekly</x:v>
      </x:c>
      <x:c r="B75" s="26" t="str">
        <x:v>"Hokkaido University" "health informatics" "PhD"</x:v>
      </x:c>
      <x:c r="C75" s="26" t="str">
        <x:v>https://www.google.com/search?q=%22Hokkaido%20University%22%20%22health%20informatics%22%20%22PhD%22</x:v>
      </x:c>
      <x:c r="D75" s="26" t="str">
        <x:v>FindAPhD, EURAXESS, Academic Positions, jobs.ac.uk, Nature Careers, JREC-IN Portal, JSPS, MEXT, Study in Korea, university job pages, faculty lab websites</x:v>
      </x:c>
      <x:c r="E75" s="26" t="str">
        <x:v>PhD advert</x:v>
      </x:c>
      <x:c r="F75" s="26" t="str">
        <x:v>Review official pages first; paste final source URL into Leads.</x:v>
      </x:c>
    </x:row>
    <x:row r="76">
      <x:c r="A76" s="26" t="str">
        <x:v>Weekly</x:v>
      </x:c>
      <x:c r="B76" s="26" t="str">
        <x:v>"University of Tsukuba" "health informatics" "PhD"</x:v>
      </x:c>
      <x:c r="C76" s="26" t="str">
        <x:v>https://www.google.com/search?q=%22University%20of%20Tsukuba%22%20%22health%20informatics%22%20%22PhD%22</x:v>
      </x:c>
      <x:c r="D76" s="26" t="str">
        <x:v>FindAPhD, EURAXESS, Academic Positions, jobs.ac.uk, Nature Careers, JREC-IN Portal, JSPS, MEXT, Study in Korea, university job pages, faculty lab websites</x:v>
      </x:c>
      <x:c r="E76" s="26" t="str">
        <x:v>PhD advert</x:v>
      </x:c>
      <x:c r="F76" s="26" t="str">
        <x:v>Review official pages first; paste final source URL into Leads.</x:v>
      </x:c>
    </x:row>
    <x:row r="77">
      <x:c r="A77" s="26" t="str">
        <x:v>Weekly</x:v>
      </x:c>
      <x:c r="B77" s="26" t="str">
        <x:v>"Institute of Science Tokyo" "health informatics" "PhD"</x:v>
      </x:c>
      <x:c r="C77" s="26" t="str">
        <x:v>https://www.google.com/search?q=%22Institute%20of%20Science%20Tokyo%22%20%22health%20informatics%22%20%22PhD%22</x:v>
      </x:c>
      <x:c r="D77" s="26" t="str">
        <x:v>FindAPhD, EURAXESS, Academic Positions, jobs.ac.uk, Nature Careers, JREC-IN Portal, JSPS, MEXT, Study in Korea, university job pages, faculty lab websites</x:v>
      </x:c>
      <x:c r="E77" s="26" t="str">
        <x:v>PhD advert</x:v>
      </x:c>
      <x:c r="F77" s="26" t="str">
        <x:v>Review official pages first; paste final source URL into Leads.</x:v>
      </x:c>
    </x:row>
    <x:row r="78">
      <x:c r="A78" s="26" t="str">
        <x:v>Weekly</x:v>
      </x:c>
      <x:c r="B78" s="26" t="str">
        <x:v>"Okinawa Institute of Science and Technology" "health informatics" "PhD"</x:v>
      </x:c>
      <x:c r="C78" s="26" t="str">
        <x:v>https://www.google.com/search?q=%22Okinawa%20Institute%20of%20Science%20and%20Technology%22%20%22health%20informatics%22%20%22PhD%22</x:v>
      </x:c>
      <x:c r="D78" s="26" t="str">
        <x:v>FindAPhD, EURAXESS, Academic Positions, jobs.ac.uk, Nature Careers, JREC-IN Portal, JSPS, MEXT, Study in Korea, university job pages, faculty lab websites</x:v>
      </x:c>
      <x:c r="E78" s="26" t="str">
        <x:v>PhD advert</x:v>
      </x:c>
      <x:c r="F78" s="26" t="str">
        <x:v>Review official pages first; paste final source URL into Leads.</x:v>
      </x:c>
    </x:row>
  </x:sheetData>
  <x:mergeCells>
    <x:mergeCell ref="A1:F1"/>
    <x:mergeCell ref="A2:F2"/>
  </x:mergeCells>
  <x:pageMargins left="0.7" right="0.7" top="0.75" bottom="0.75" header="0.3" footer="0.3"/>
  <x:tableParts count="1">
    <x:tablePart xmlns:r="http://schemas.openxmlformats.org/officeDocument/2006/relationships" r:id="R9b6c9feba0564ab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60" hidden="0" customWidth="1"/>
    <x:col min="3" max="3" width="28" hidden="0" customWidth="1"/>
    <x:col min="4" max="4" width="60" hidden="0" customWidth="1"/>
    <x:col min="5" max="5" width="18" hidden="0" customWidth="1"/>
    <x:col min="6" max="6" width="20" hidden="0" customWidth="1"/>
  </x:cols>
  <x:sheetData>
    <x:row r="1">
      <x:c r="A1" s="7" t="str">
        <x:v>Manual LinkedIn Capture</x:v>
      </x:c>
      <x:c r="B1" s="8"/>
      <x:c r="C1" s="8"/>
      <x:c r="D1" s="8"/>
      <x:c r="E1" s="8"/>
      <x:c r="F1" s="9"/>
    </x:row>
    <x:row r="2">
      <x:c r="A2" s="10" t="str">
        <x:v>Paste only user-selected LinkedIn links here, then transfer strong leads into the Leads sheet.</x:v>
      </x:c>
      <x:c r="B2" s="11"/>
      <x:c r="C2" s="11"/>
      <x:c r="D2" s="11"/>
      <x:c r="E2" s="11"/>
      <x:c r="F2" s="12"/>
    </x:row>
    <x:row r="4">
      <x:c r="A4" s="17" t="str">
        <x:v>Date Captured</x:v>
      </x:c>
      <x:c r="B4" s="17" t="str">
        <x:v>LinkedIn URL</x:v>
      </x:c>
      <x:c r="C4" s="17" t="str">
        <x:v>Person/Post</x:v>
      </x:c>
      <x:c r="D4" s="17" t="str">
        <x:v>Why it matters</x:v>
      </x:c>
      <x:c r="E4" s="17" t="str">
        <x:v>Next action</x:v>
      </x:c>
      <x:c r="F4" s="17" t="str">
        <x:v>Transferred to Leads?</x:v>
      </x:c>
    </x:row>
    <x:row r="5">
      <x:c r="A5" s="25" t="str"/>
      <x:c r="B5" s="26" t="str"/>
      <x:c r="C5" s="26" t="str"/>
      <x:c r="D5" s="26" t="str"/>
      <x:c r="E5" s="26" t="str"/>
      <x:c r="F5" s="26" t="str"/>
    </x:row>
    <x:row r="6">
      <x:c r="A6" s="25" t="str"/>
      <x:c r="B6" s="26" t="str"/>
      <x:c r="C6" s="26" t="str"/>
      <x:c r="D6" s="26" t="str"/>
      <x:c r="E6" s="26" t="str"/>
      <x:c r="F6" s="26" t="str"/>
    </x:row>
    <x:row r="7">
      <x:c r="A7" s="25" t="str"/>
      <x:c r="B7" s="26" t="str"/>
      <x:c r="C7" s="26" t="str"/>
      <x:c r="D7" s="26" t="str"/>
      <x:c r="E7" s="26" t="str"/>
      <x:c r="F7" s="26" t="str"/>
    </x:row>
    <x:row r="8">
      <x:c r="A8" s="25" t="str"/>
      <x:c r="B8" s="26" t="str"/>
      <x:c r="C8" s="26" t="str"/>
      <x:c r="D8" s="26" t="str"/>
      <x:c r="E8" s="26" t="str"/>
      <x:c r="F8" s="26" t="str"/>
    </x:row>
    <x:row r="9">
      <x:c r="A9" s="25" t="str"/>
      <x:c r="B9" s="26" t="str"/>
      <x:c r="C9" s="26" t="str"/>
      <x:c r="D9" s="26" t="str"/>
      <x:c r="E9" s="26" t="str"/>
      <x:c r="F9" s="26" t="str"/>
    </x:row>
    <x:row r="10">
      <x:c r="A10" s="25" t="str"/>
      <x:c r="B10" s="26" t="str"/>
      <x:c r="C10" s="26" t="str"/>
      <x:c r="D10" s="26" t="str"/>
      <x:c r="E10" s="26" t="str"/>
      <x:c r="F10" s="26" t="str"/>
    </x:row>
    <x:row r="11">
      <x:c r="A11" s="25" t="str"/>
      <x:c r="B11" s="26" t="str"/>
      <x:c r="C11" s="26" t="str"/>
      <x:c r="D11" s="26" t="str"/>
      <x:c r="E11" s="26" t="str"/>
      <x:c r="F11" s="26" t="str"/>
    </x:row>
    <x:row r="12">
      <x:c r="A12" s="25" t="str"/>
      <x:c r="B12" s="26" t="str"/>
      <x:c r="C12" s="26" t="str"/>
      <x:c r="D12" s="26" t="str"/>
      <x:c r="E12" s="26" t="str"/>
      <x:c r="F12" s="26" t="str"/>
    </x:row>
    <x:row r="13">
      <x:c r="A13" s="25" t="str"/>
      <x:c r="B13" s="26" t="str"/>
      <x:c r="C13" s="26" t="str"/>
      <x:c r="D13" s="26" t="str"/>
      <x:c r="E13" s="26" t="str"/>
      <x:c r="F13" s="26" t="str"/>
    </x:row>
    <x:row r="14">
      <x:c r="A14" s="25" t="str"/>
      <x:c r="B14" s="26" t="str"/>
      <x:c r="C14" s="26" t="str"/>
      <x:c r="D14" s="26" t="str"/>
      <x:c r="E14" s="26" t="str"/>
      <x:c r="F14" s="26" t="str"/>
    </x:row>
    <x:row r="15">
      <x:c r="A15" s="25" t="str"/>
      <x:c r="B15" s="26" t="str"/>
      <x:c r="C15" s="26" t="str"/>
      <x:c r="D15" s="26" t="str"/>
      <x:c r="E15" s="26" t="str"/>
      <x:c r="F15" s="26" t="str"/>
    </x:row>
    <x:row r="16">
      <x:c r="A16" s="25" t="str"/>
      <x:c r="B16" s="26" t="str"/>
      <x:c r="C16" s="26" t="str"/>
      <x:c r="D16" s="26" t="str"/>
      <x:c r="E16" s="26" t="str"/>
      <x:c r="F16" s="26" t="str"/>
    </x:row>
    <x:row r="17">
      <x:c r="A17" s="25" t="str"/>
      <x:c r="B17" s="26" t="str"/>
      <x:c r="C17" s="26" t="str"/>
      <x:c r="D17" s="26" t="str"/>
      <x:c r="E17" s="26" t="str"/>
      <x:c r="F17" s="26" t="str"/>
    </x:row>
    <x:row r="18">
      <x:c r="A18" s="25" t="str"/>
      <x:c r="B18" s="26" t="str"/>
      <x:c r="C18" s="26" t="str"/>
      <x:c r="D18" s="26" t="str"/>
      <x:c r="E18" s="26" t="str"/>
      <x:c r="F18" s="26" t="str"/>
    </x:row>
    <x:row r="19">
      <x:c r="A19" s="25" t="str"/>
      <x:c r="B19" s="26" t="str"/>
      <x:c r="C19" s="26" t="str"/>
      <x:c r="D19" s="26" t="str"/>
      <x:c r="E19" s="26" t="str"/>
      <x:c r="F19" s="26" t="str"/>
    </x:row>
    <x:row r="20">
      <x:c r="A20" s="25" t="str"/>
      <x:c r="B20" s="26" t="str"/>
      <x:c r="C20" s="26" t="str"/>
      <x:c r="D20" s="26" t="str"/>
      <x:c r="E20" s="26" t="str"/>
      <x:c r="F20" s="26" t="str"/>
    </x:row>
    <x:row r="21">
      <x:c r="A21" s="25" t="str"/>
      <x:c r="B21" s="26" t="str"/>
      <x:c r="C21" s="26" t="str"/>
      <x:c r="D21" s="26" t="str"/>
      <x:c r="E21" s="26" t="str"/>
      <x:c r="F21" s="26" t="str"/>
    </x:row>
    <x:row r="22">
      <x:c r="A22" s="25" t="str"/>
      <x:c r="B22" s="26" t="str"/>
      <x:c r="C22" s="26" t="str"/>
      <x:c r="D22" s="26" t="str"/>
      <x:c r="E22" s="26" t="str"/>
      <x:c r="F22" s="26" t="str"/>
    </x:row>
    <x:row r="23">
      <x:c r="A23" s="25" t="str"/>
      <x:c r="B23" s="26" t="str"/>
      <x:c r="C23" s="26" t="str"/>
      <x:c r="D23" s="26" t="str"/>
      <x:c r="E23" s="26" t="str"/>
      <x:c r="F23" s="26" t="str"/>
    </x:row>
    <x:row r="24">
      <x:c r="A24" s="25" t="str"/>
      <x:c r="B24" s="26" t="str"/>
      <x:c r="C24" s="26" t="str"/>
      <x:c r="D24" s="26" t="str"/>
      <x:c r="E24" s="26" t="str"/>
      <x:c r="F24" s="26" t="str"/>
    </x:row>
    <x:row r="25">
      <x:c r="A25" s="25" t="str"/>
      <x:c r="B25" s="26" t="str"/>
      <x:c r="C25" s="26" t="str"/>
      <x:c r="D25" s="26" t="str"/>
      <x:c r="E25" s="26" t="str"/>
      <x:c r="F25" s="26" t="str"/>
    </x:row>
    <x:row r="26">
      <x:c r="A26" s="25" t="str"/>
      <x:c r="B26" s="26" t="str"/>
      <x:c r="C26" s="26" t="str"/>
      <x:c r="D26" s="26" t="str"/>
      <x:c r="E26" s="26" t="str"/>
      <x:c r="F26" s="26" t="str"/>
    </x:row>
    <x:row r="27">
      <x:c r="A27" s="25" t="str"/>
      <x:c r="B27" s="26" t="str"/>
      <x:c r="C27" s="26" t="str"/>
      <x:c r="D27" s="26" t="str"/>
      <x:c r="E27" s="26" t="str"/>
      <x:c r="F27" s="26" t="str"/>
    </x:row>
    <x:row r="28">
      <x:c r="A28" s="25" t="str"/>
      <x:c r="B28" s="26" t="str"/>
      <x:c r="C28" s="26" t="str"/>
      <x:c r="D28" s="26" t="str"/>
      <x:c r="E28" s="26" t="str"/>
      <x:c r="F28" s="26" t="str"/>
    </x:row>
    <x:row r="29">
      <x:c r="A29" s="25" t="str"/>
      <x:c r="B29" s="26" t="str"/>
      <x:c r="C29" s="26" t="str"/>
      <x:c r="D29" s="26" t="str"/>
      <x:c r="E29" s="26" t="str"/>
      <x:c r="F29" s="26" t="str"/>
    </x:row>
    <x:row r="30">
      <x:c r="A30" s="25" t="str"/>
      <x:c r="B30" s="26" t="str"/>
      <x:c r="C30" s="26" t="str"/>
      <x:c r="D30" s="26" t="str"/>
      <x:c r="E30" s="26" t="str"/>
      <x:c r="F30" s="26" t="str"/>
    </x:row>
    <x:row r="31">
      <x:c r="A31" s="25" t="str"/>
      <x:c r="B31" s="26" t="str"/>
      <x:c r="C31" s="26" t="str"/>
      <x:c r="D31" s="26" t="str"/>
      <x:c r="E31" s="26" t="str"/>
      <x:c r="F31" s="26" t="str"/>
    </x:row>
    <x:row r="32">
      <x:c r="A32" s="25" t="str"/>
      <x:c r="B32" s="26" t="str"/>
      <x:c r="C32" s="26" t="str"/>
      <x:c r="D32" s="26" t="str"/>
      <x:c r="E32" s="26" t="str"/>
      <x:c r="F32" s="26" t="str"/>
    </x:row>
    <x:row r="33">
      <x:c r="A33" s="25" t="str"/>
      <x:c r="B33" s="26" t="str"/>
      <x:c r="C33" s="26" t="str"/>
      <x:c r="D33" s="26" t="str"/>
      <x:c r="E33" s="26" t="str"/>
      <x:c r="F33" s="26" t="str"/>
    </x:row>
    <x:row r="34">
      <x:c r="A34" s="25" t="str"/>
      <x:c r="B34" s="26" t="str"/>
      <x:c r="C34" s="26" t="str"/>
      <x:c r="D34" s="26" t="str"/>
      <x:c r="E34" s="26" t="str"/>
      <x:c r="F34" s="26" t="str"/>
    </x:row>
    <x:row r="35">
      <x:c r="A35" s="25" t="str"/>
      <x:c r="B35" s="26" t="str"/>
      <x:c r="C35" s="26" t="str"/>
      <x:c r="D35" s="26" t="str"/>
      <x:c r="E35" s="26" t="str"/>
      <x:c r="F35" s="26" t="str"/>
    </x:row>
    <x:row r="36">
      <x:c r="A36" s="25" t="str"/>
      <x:c r="B36" s="26" t="str"/>
      <x:c r="C36" s="26" t="str"/>
      <x:c r="D36" s="26" t="str"/>
      <x:c r="E36" s="26" t="str"/>
      <x:c r="F36" s="26" t="str"/>
    </x:row>
    <x:row r="37">
      <x:c r="A37" s="25" t="str"/>
      <x:c r="B37" s="26" t="str"/>
      <x:c r="C37" s="26" t="str"/>
      <x:c r="D37" s="26" t="str"/>
      <x:c r="E37" s="26" t="str"/>
      <x:c r="F37" s="26" t="str"/>
    </x:row>
    <x:row r="38">
      <x:c r="A38" s="25" t="str"/>
      <x:c r="B38" s="26" t="str"/>
      <x:c r="C38" s="26" t="str"/>
      <x:c r="D38" s="26" t="str"/>
      <x:c r="E38" s="26" t="str"/>
      <x:c r="F38" s="26" t="str"/>
    </x:row>
    <x:row r="39">
      <x:c r="A39" s="25" t="str"/>
      <x:c r="B39" s="26" t="str"/>
      <x:c r="C39" s="26" t="str"/>
      <x:c r="D39" s="26" t="str"/>
      <x:c r="E39" s="26" t="str"/>
      <x:c r="F39" s="26" t="str"/>
    </x:row>
    <x:row r="40">
      <x:c r="A40" s="25" t="str"/>
      <x:c r="B40" s="26" t="str"/>
      <x:c r="C40" s="26" t="str"/>
      <x:c r="D40" s="26" t="str"/>
      <x:c r="E40" s="26" t="str"/>
      <x:c r="F40" s="26" t="str"/>
    </x:row>
    <x:row r="41">
      <x:c r="A41" s="25" t="str"/>
      <x:c r="B41" s="26" t="str"/>
      <x:c r="C41" s="26" t="str"/>
      <x:c r="D41" s="26" t="str"/>
      <x:c r="E41" s="26" t="str"/>
      <x:c r="F41" s="26" t="str"/>
    </x:row>
    <x:row r="42">
      <x:c r="A42" s="25" t="str"/>
      <x:c r="B42" s="26" t="str"/>
      <x:c r="C42" s="26" t="str"/>
      <x:c r="D42" s="26" t="str"/>
      <x:c r="E42" s="26" t="str"/>
      <x:c r="F42" s="26" t="str"/>
    </x:row>
    <x:row r="43">
      <x:c r="A43" s="25" t="str"/>
      <x:c r="B43" s="26" t="str"/>
      <x:c r="C43" s="26" t="str"/>
      <x:c r="D43" s="26" t="str"/>
      <x:c r="E43" s="26" t="str"/>
      <x:c r="F43" s="26" t="str"/>
    </x:row>
    <x:row r="44">
      <x:c r="A44" s="25" t="str"/>
      <x:c r="B44" s="26" t="str"/>
      <x:c r="C44" s="26" t="str"/>
      <x:c r="D44" s="26" t="str"/>
      <x:c r="E44" s="26" t="str"/>
      <x:c r="F44" s="26" t="str"/>
    </x:row>
    <x:row r="45">
      <x:c r="A45" s="25" t="str"/>
      <x:c r="B45" s="26" t="str"/>
      <x:c r="C45" s="26" t="str"/>
      <x:c r="D45" s="26" t="str"/>
      <x:c r="E45" s="26" t="str"/>
      <x:c r="F45" s="26" t="str"/>
    </x:row>
    <x:row r="46">
      <x:c r="A46" s="25" t="str"/>
      <x:c r="B46" s="26" t="str"/>
      <x:c r="C46" s="26" t="str"/>
      <x:c r="D46" s="26" t="str"/>
      <x:c r="E46" s="26" t="str"/>
      <x:c r="F46" s="26" t="str"/>
    </x:row>
    <x:row r="47">
      <x:c r="A47" s="25" t="str"/>
      <x:c r="B47" s="26" t="str"/>
      <x:c r="C47" s="26" t="str"/>
      <x:c r="D47" s="26" t="str"/>
      <x:c r="E47" s="26" t="str"/>
      <x:c r="F47" s="26" t="str"/>
    </x:row>
    <x:row r="48">
      <x:c r="A48" s="25" t="str"/>
      <x:c r="B48" s="26" t="str"/>
      <x:c r="C48" s="26" t="str"/>
      <x:c r="D48" s="26" t="str"/>
      <x:c r="E48" s="26" t="str"/>
      <x:c r="F48" s="26" t="str"/>
    </x:row>
    <x:row r="49">
      <x:c r="A49" s="25" t="str"/>
      <x:c r="B49" s="26" t="str"/>
      <x:c r="C49" s="26" t="str"/>
      <x:c r="D49" s="26" t="str"/>
      <x:c r="E49" s="26" t="str"/>
      <x:c r="F49" s="26" t="str"/>
    </x:row>
    <x:row r="50">
      <x:c r="A50" s="25" t="str"/>
      <x:c r="B50" s="26" t="str"/>
      <x:c r="C50" s="26" t="str"/>
      <x:c r="D50" s="26" t="str"/>
      <x:c r="E50" s="26" t="str"/>
      <x:c r="F50" s="26" t="str"/>
    </x:row>
    <x:row r="51">
      <x:c r="A51" s="25" t="str"/>
      <x:c r="B51" s="26" t="str"/>
      <x:c r="C51" s="26" t="str"/>
      <x:c r="D51" s="26" t="str"/>
      <x:c r="E51" s="26" t="str"/>
      <x:c r="F51" s="26" t="str"/>
    </x:row>
    <x:row r="52">
      <x:c r="A52" s="25" t="str"/>
      <x:c r="B52" s="26" t="str"/>
      <x:c r="C52" s="26" t="str"/>
      <x:c r="D52" s="26" t="str"/>
      <x:c r="E52" s="26" t="str"/>
      <x:c r="F52" s="26" t="str"/>
    </x:row>
    <x:row r="53">
      <x:c r="A53" s="25" t="str"/>
      <x:c r="B53" s="26" t="str"/>
      <x:c r="C53" s="26" t="str"/>
      <x:c r="D53" s="26" t="str"/>
      <x:c r="E53" s="26" t="str"/>
      <x:c r="F53" s="26" t="str"/>
    </x:row>
    <x:row r="54">
      <x:c r="A54" s="25" t="str"/>
      <x:c r="B54" s="26" t="str"/>
      <x:c r="C54" s="26" t="str"/>
      <x:c r="D54" s="26" t="str"/>
      <x:c r="E54" s="26" t="str"/>
      <x:c r="F54" s="26" t="str"/>
    </x:row>
    <x:row r="55">
      <x:c r="A55" s="25" t="str"/>
      <x:c r="B55" s="26" t="str"/>
      <x:c r="C55" s="26" t="str"/>
      <x:c r="D55" s="26" t="str"/>
      <x:c r="E55" s="26" t="str"/>
      <x:c r="F55" s="26" t="str"/>
    </x:row>
    <x:row r="56">
      <x:c r="A56" s="25" t="str"/>
      <x:c r="B56" s="26" t="str"/>
      <x:c r="C56" s="26" t="str"/>
      <x:c r="D56" s="26" t="str"/>
      <x:c r="E56" s="26" t="str"/>
      <x:c r="F56" s="26" t="str"/>
    </x:row>
    <x:row r="57">
      <x:c r="A57" s="25" t="str"/>
      <x:c r="B57" s="26" t="str"/>
      <x:c r="C57" s="26" t="str"/>
      <x:c r="D57" s="26" t="str"/>
      <x:c r="E57" s="26" t="str"/>
      <x:c r="F57" s="26" t="str"/>
    </x:row>
    <x:row r="58">
      <x:c r="A58" s="25" t="str"/>
      <x:c r="B58" s="26" t="str"/>
      <x:c r="C58" s="26" t="str"/>
      <x:c r="D58" s="26" t="str"/>
      <x:c r="E58" s="26" t="str"/>
      <x:c r="F58" s="26" t="str"/>
    </x:row>
    <x:row r="59">
      <x:c r="A59" s="25" t="str"/>
      <x:c r="B59" s="26" t="str"/>
      <x:c r="C59" s="26" t="str"/>
      <x:c r="D59" s="26" t="str"/>
      <x:c r="E59" s="26" t="str"/>
      <x:c r="F59" s="26" t="str"/>
    </x:row>
    <x:row r="60">
      <x:c r="A60" s="25" t="str"/>
      <x:c r="B60" s="26" t="str"/>
      <x:c r="C60" s="26" t="str"/>
      <x:c r="D60" s="26" t="str"/>
      <x:c r="E60" s="26" t="str"/>
      <x:c r="F60" s="26" t="str"/>
    </x:row>
    <x:row r="61">
      <x:c r="A61" s="25" t="str"/>
      <x:c r="B61" s="26" t="str"/>
      <x:c r="C61" s="26" t="str"/>
      <x:c r="D61" s="26" t="str"/>
      <x:c r="E61" s="26" t="str"/>
      <x:c r="F61" s="26" t="str"/>
    </x:row>
    <x:row r="62">
      <x:c r="A62" s="25" t="str"/>
      <x:c r="B62" s="26" t="str"/>
      <x:c r="C62" s="26" t="str"/>
      <x:c r="D62" s="26" t="str"/>
      <x:c r="E62" s="26" t="str"/>
      <x:c r="F62" s="26" t="str"/>
    </x:row>
    <x:row r="63">
      <x:c r="A63" s="25" t="str"/>
      <x:c r="B63" s="26" t="str"/>
      <x:c r="C63" s="26" t="str"/>
      <x:c r="D63" s="26" t="str"/>
      <x:c r="E63" s="26" t="str"/>
      <x:c r="F63" s="26" t="str"/>
    </x:row>
    <x:row r="64">
      <x:c r="A64" s="25" t="str"/>
      <x:c r="B64" s="26" t="str"/>
      <x:c r="C64" s="26" t="str"/>
      <x:c r="D64" s="26" t="str"/>
      <x:c r="E64" s="26" t="str"/>
      <x:c r="F64" s="26" t="str"/>
    </x:row>
    <x:row r="65">
      <x:c r="A65" s="25" t="str"/>
      <x:c r="B65" s="26" t="str"/>
      <x:c r="C65" s="26" t="str"/>
      <x:c r="D65" s="26" t="str"/>
      <x:c r="E65" s="26" t="str"/>
      <x:c r="F65" s="26" t="str"/>
    </x:row>
    <x:row r="66">
      <x:c r="A66" s="25" t="str"/>
      <x:c r="B66" s="26" t="str"/>
      <x:c r="C66" s="26" t="str"/>
      <x:c r="D66" s="26" t="str"/>
      <x:c r="E66" s="26" t="str"/>
      <x:c r="F66" s="26" t="str"/>
    </x:row>
    <x:row r="67">
      <x:c r="A67" s="25" t="str"/>
      <x:c r="B67" s="26" t="str"/>
      <x:c r="C67" s="26" t="str"/>
      <x:c r="D67" s="26" t="str"/>
      <x:c r="E67" s="26" t="str"/>
      <x:c r="F67" s="26" t="str"/>
    </x:row>
    <x:row r="68">
      <x:c r="A68" s="25" t="str"/>
      <x:c r="B68" s="26" t="str"/>
      <x:c r="C68" s="26" t="str"/>
      <x:c r="D68" s="26" t="str"/>
      <x:c r="E68" s="26" t="str"/>
      <x:c r="F68" s="26" t="str"/>
    </x:row>
    <x:row r="69">
      <x:c r="A69" s="25" t="str"/>
      <x:c r="B69" s="26" t="str"/>
      <x:c r="C69" s="26" t="str"/>
      <x:c r="D69" s="26" t="str"/>
      <x:c r="E69" s="26" t="str"/>
      <x:c r="F69" s="26" t="str"/>
    </x:row>
    <x:row r="70">
      <x:c r="A70" s="25" t="str"/>
      <x:c r="B70" s="26" t="str"/>
      <x:c r="C70" s="26" t="str"/>
      <x:c r="D70" s="26" t="str"/>
      <x:c r="E70" s="26" t="str"/>
      <x:c r="F70" s="26" t="str"/>
    </x:row>
    <x:row r="71">
      <x:c r="A71" s="25" t="str"/>
      <x:c r="B71" s="26" t="str"/>
      <x:c r="C71" s="26" t="str"/>
      <x:c r="D71" s="26" t="str"/>
      <x:c r="E71" s="26" t="str"/>
      <x:c r="F71" s="26" t="str"/>
    </x:row>
    <x:row r="72">
      <x:c r="A72" s="25" t="str"/>
      <x:c r="B72" s="26" t="str"/>
      <x:c r="C72" s="26" t="str"/>
      <x:c r="D72" s="26" t="str"/>
      <x:c r="E72" s="26" t="str"/>
      <x:c r="F72" s="26" t="str"/>
    </x:row>
    <x:row r="73">
      <x:c r="A73" s="25" t="str"/>
      <x:c r="B73" s="26" t="str"/>
      <x:c r="C73" s="26" t="str"/>
      <x:c r="D73" s="26" t="str"/>
      <x:c r="E73" s="26" t="str"/>
      <x:c r="F73" s="26" t="str"/>
    </x:row>
    <x:row r="74">
      <x:c r="A74" s="25" t="str"/>
      <x:c r="B74" s="26" t="str"/>
      <x:c r="C74" s="26" t="str"/>
      <x:c r="D74" s="26" t="str"/>
      <x:c r="E74" s="26" t="str"/>
      <x:c r="F74" s="26" t="str"/>
    </x:row>
    <x:row r="75">
      <x:c r="A75" s="25" t="str"/>
      <x:c r="B75" s="26" t="str"/>
      <x:c r="C75" s="26" t="str"/>
      <x:c r="D75" s="26" t="str"/>
      <x:c r="E75" s="26" t="str"/>
      <x:c r="F75" s="26" t="str"/>
    </x:row>
    <x:row r="76">
      <x:c r="A76" s="25" t="str"/>
      <x:c r="B76" s="26" t="str"/>
      <x:c r="C76" s="26" t="str"/>
      <x:c r="D76" s="26" t="str"/>
      <x:c r="E76" s="26" t="str"/>
      <x:c r="F76" s="26" t="str"/>
    </x:row>
    <x:row r="77">
      <x:c r="A77" s="25" t="str"/>
      <x:c r="B77" s="26" t="str"/>
      <x:c r="C77" s="26" t="str"/>
      <x:c r="D77" s="26" t="str"/>
      <x:c r="E77" s="26" t="str"/>
      <x:c r="F77" s="26" t="str"/>
    </x:row>
    <x:row r="78">
      <x:c r="A78" s="25" t="str"/>
      <x:c r="B78" s="26" t="str"/>
      <x:c r="C78" s="26" t="str"/>
      <x:c r="D78" s="26" t="str"/>
      <x:c r="E78" s="26" t="str"/>
      <x:c r="F78" s="26" t="str"/>
    </x:row>
    <x:row r="79">
      <x:c r="A79" s="25" t="str"/>
      <x:c r="B79" s="26" t="str"/>
      <x:c r="C79" s="26" t="str"/>
      <x:c r="D79" s="26" t="str"/>
      <x:c r="E79" s="26" t="str"/>
      <x:c r="F79" s="26" t="str"/>
    </x:row>
    <x:row r="80">
      <x:c r="A80" s="25" t="str"/>
      <x:c r="B80" s="26" t="str"/>
      <x:c r="C80" s="26" t="str"/>
      <x:c r="D80" s="26" t="str"/>
      <x:c r="E80" s="26" t="str"/>
      <x:c r="F80" s="26" t="str"/>
    </x:row>
    <x:row r="81">
      <x:c r="A81" s="25" t="str"/>
      <x:c r="B81" s="26" t="str"/>
      <x:c r="C81" s="26" t="str"/>
      <x:c r="D81" s="26" t="str"/>
      <x:c r="E81" s="26" t="str"/>
      <x:c r="F81" s="26" t="str"/>
    </x:row>
    <x:row r="82">
      <x:c r="A82" s="25" t="str"/>
      <x:c r="B82" s="26" t="str"/>
      <x:c r="C82" s="26" t="str"/>
      <x:c r="D82" s="26" t="str"/>
      <x:c r="E82" s="26" t="str"/>
      <x:c r="F82" s="26" t="str"/>
    </x:row>
    <x:row r="83">
      <x:c r="A83" s="25" t="str"/>
      <x:c r="B83" s="26" t="str"/>
      <x:c r="C83" s="26" t="str"/>
      <x:c r="D83" s="26" t="str"/>
      <x:c r="E83" s="26" t="str"/>
      <x:c r="F83" s="26" t="str"/>
    </x:row>
    <x:row r="84">
      <x:c r="A84" s="25" t="str"/>
      <x:c r="B84" s="26" t="str"/>
      <x:c r="C84" s="26" t="str"/>
      <x:c r="D84" s="26" t="str"/>
      <x:c r="E84" s="26" t="str"/>
      <x:c r="F84" s="26" t="str"/>
    </x:row>
    <x:row r="85">
      <x:c r="A85" s="25" t="str"/>
      <x:c r="B85" s="26" t="str"/>
      <x:c r="C85" s="26" t="str"/>
      <x:c r="D85" s="26" t="str"/>
      <x:c r="E85" s="26" t="str"/>
      <x:c r="F85" s="26" t="str"/>
    </x:row>
    <x:row r="86">
      <x:c r="A86" s="25" t="str"/>
      <x:c r="B86" s="26" t="str"/>
      <x:c r="C86" s="26" t="str"/>
      <x:c r="D86" s="26" t="str"/>
      <x:c r="E86" s="26" t="str"/>
      <x:c r="F86" s="26" t="str"/>
    </x:row>
    <x:row r="87">
      <x:c r="A87" s="25" t="str"/>
      <x:c r="B87" s="26" t="str"/>
      <x:c r="C87" s="26" t="str"/>
      <x:c r="D87" s="26" t="str"/>
      <x:c r="E87" s="26" t="str"/>
      <x:c r="F87" s="26" t="str"/>
    </x:row>
    <x:row r="88">
      <x:c r="A88" s="25" t="str"/>
      <x:c r="B88" s="26" t="str"/>
      <x:c r="C88" s="26" t="str"/>
      <x:c r="D88" s="26" t="str"/>
      <x:c r="E88" s="26" t="str"/>
      <x:c r="F88" s="26" t="str"/>
    </x:row>
    <x:row r="89">
      <x:c r="A89" s="25" t="str"/>
      <x:c r="B89" s="26" t="str"/>
      <x:c r="C89" s="26" t="str"/>
      <x:c r="D89" s="26" t="str"/>
      <x:c r="E89" s="26" t="str"/>
      <x:c r="F89" s="26" t="str"/>
    </x:row>
    <x:row r="90">
      <x:c r="A90" s="25" t="str"/>
      <x:c r="B90" s="26" t="str"/>
      <x:c r="C90" s="26" t="str"/>
      <x:c r="D90" s="26" t="str"/>
      <x:c r="E90" s="26" t="str"/>
      <x:c r="F90" s="26" t="str"/>
    </x:row>
    <x:row r="91">
      <x:c r="A91" s="25" t="str"/>
      <x:c r="B91" s="26" t="str"/>
      <x:c r="C91" s="26" t="str"/>
      <x:c r="D91" s="26" t="str"/>
      <x:c r="E91" s="26" t="str"/>
      <x:c r="F91" s="26" t="str"/>
    </x:row>
    <x:row r="92">
      <x:c r="A92" s="25" t="str"/>
      <x:c r="B92" s="26" t="str"/>
      <x:c r="C92" s="26" t="str"/>
      <x:c r="D92" s="26" t="str"/>
      <x:c r="E92" s="26" t="str"/>
      <x:c r="F92" s="26" t="str"/>
    </x:row>
    <x:row r="93">
      <x:c r="A93" s="25" t="str"/>
      <x:c r="B93" s="26" t="str"/>
      <x:c r="C93" s="26" t="str"/>
      <x:c r="D93" s="26" t="str"/>
      <x:c r="E93" s="26" t="str"/>
      <x:c r="F93" s="26" t="str"/>
    </x:row>
    <x:row r="94">
      <x:c r="A94" s="25" t="str"/>
      <x:c r="B94" s="26" t="str"/>
      <x:c r="C94" s="26" t="str"/>
      <x:c r="D94" s="26" t="str"/>
      <x:c r="E94" s="26" t="str"/>
      <x:c r="F94" s="26" t="str"/>
    </x:row>
    <x:row r="95">
      <x:c r="A95" s="25" t="str"/>
      <x:c r="B95" s="26" t="str"/>
      <x:c r="C95" s="26" t="str"/>
      <x:c r="D95" s="26" t="str"/>
      <x:c r="E95" s="26" t="str"/>
      <x:c r="F95" s="26" t="str"/>
    </x:row>
    <x:row r="96">
      <x:c r="A96" s="25" t="str"/>
      <x:c r="B96" s="26" t="str"/>
      <x:c r="C96" s="26" t="str"/>
      <x:c r="D96" s="26" t="str"/>
      <x:c r="E96" s="26" t="str"/>
      <x:c r="F96" s="26" t="str"/>
    </x:row>
    <x:row r="97">
      <x:c r="A97" s="25" t="str"/>
      <x:c r="B97" s="26" t="str"/>
      <x:c r="C97" s="26" t="str"/>
      <x:c r="D97" s="26" t="str"/>
      <x:c r="E97" s="26" t="str"/>
      <x:c r="F97" s="26" t="str"/>
    </x:row>
    <x:row r="98">
      <x:c r="A98" s="25" t="str"/>
      <x:c r="B98" s="26" t="str"/>
      <x:c r="C98" s="26" t="str"/>
      <x:c r="D98" s="26" t="str"/>
      <x:c r="E98" s="26" t="str"/>
      <x:c r="F98" s="26" t="str"/>
    </x:row>
    <x:row r="99">
      <x:c r="A99" s="25" t="str"/>
      <x:c r="B99" s="26" t="str"/>
      <x:c r="C99" s="26" t="str"/>
      <x:c r="D99" s="26" t="str"/>
      <x:c r="E99" s="26" t="str"/>
      <x:c r="F99" s="26" t="str"/>
    </x:row>
    <x:row r="100">
      <x:c r="A100" s="25" t="str"/>
      <x:c r="B100" s="26" t="str"/>
      <x:c r="C100" s="26" t="str"/>
      <x:c r="D100" s="26" t="str"/>
      <x:c r="E100" s="26" t="str"/>
      <x:c r="F100" s="26" t="str"/>
    </x:row>
    <x:row r="101">
      <x:c r="A101" s="25" t="str"/>
      <x:c r="B101" s="26" t="str"/>
      <x:c r="C101" s="26" t="str"/>
      <x:c r="D101" s="26" t="str"/>
      <x:c r="E101" s="26" t="str"/>
      <x:c r="F101" s="26" t="str"/>
    </x:row>
    <x:row r="102">
      <x:c r="A102" s="25" t="str"/>
      <x:c r="B102" s="26" t="str"/>
      <x:c r="C102" s="26" t="str"/>
      <x:c r="D102" s="26" t="str"/>
      <x:c r="E102" s="26" t="str"/>
      <x:c r="F102" s="26" t="str"/>
    </x:row>
    <x:row r="103">
      <x:c r="A103" s="25" t="str"/>
      <x:c r="B103" s="26" t="str"/>
      <x:c r="C103" s="26" t="str"/>
      <x:c r="D103" s="26" t="str"/>
      <x:c r="E103" s="26" t="str"/>
      <x:c r="F103" s="26" t="str"/>
    </x:row>
    <x:row r="104">
      <x:c r="A104" s="25" t="str"/>
      <x:c r="B104" s="26" t="str"/>
      <x:c r="C104" s="26" t="str"/>
      <x:c r="D104" s="26" t="str"/>
      <x:c r="E104" s="26" t="str"/>
      <x:c r="F104" s="26" t="str"/>
    </x:row>
  </x:sheetData>
  <x:mergeCells>
    <x:mergeCell ref="A1:F1"/>
    <x:mergeCell ref="A2:F2"/>
  </x:mergeCells>
  <x:dataValidations count="2">
    <x:dataValidation type="list" sqref="E5:E104">
      <x:formula1>"Cold email,LinkedIn message,Find email,Read lab page,Tailor CV,Draft SOP,Submit application,Follow up,Archive"</x:formula1>
    </x:dataValidation>
    <x:dataValidation type="list" sqref="F5:F104">
      <x:formula1>"No,Yes"</x:formula1>
    </x:dataValidation>
  </x:dataValidations>
  <x:pageMargins left="0.7" right="0.7" top="0.75" bottom="0.75" header="0.3" footer="0.3"/>
  <x:tableParts count="1">
    <x:tablePart xmlns:r="http://schemas.openxmlformats.org/officeDocument/2006/relationships" r:id="R1dc8b33e6b7941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2" hidden="0" customWidth="1"/>
    <x:col min="4" max="4" width="100" hidden="0" customWidth="1"/>
  </x:cols>
  <x:sheetData>
    <x:row r="1">
      <x:c r="A1" s="7" t="str">
        <x:v>Outreach Templates</x:v>
      </x:c>
      <x:c r="B1" s="8"/>
      <x:c r="C1" s="8"/>
      <x:c r="D1" s="9"/>
    </x:row>
    <x:row r="2">
      <x:c r="A2" s="10" t="str">
        <x:v>Starting points for careful, non-bulk outreach. Always tailor before sending.</x:v>
      </x:c>
      <x:c r="B2" s="11"/>
      <x:c r="C2" s="11"/>
      <x:c r="D2" s="12"/>
    </x:row>
    <x:row r="4">
      <x:c r="A4" s="17" t="str">
        <x:v>Audience</x:v>
      </x:c>
      <x:c r="B4" s="17" t="str">
        <x:v>Use Case</x:v>
      </x:c>
      <x:c r="C4" s="17" t="str">
        <x:v>Subject / Opener</x:v>
      </x:c>
      <x:c r="D4" s="17" t="str">
        <x:v>Template</x:v>
      </x:c>
    </x:row>
    <x:row r="5">
      <x:c r="A5" s="26" t="str">
        <x:v>Professor</x:v>
      </x:c>
      <x:c r="B5" s="26" t="str">
        <x:v>Cold email</x:v>
      </x:c>
      <x:c r="C5" s="26" t="str">
        <x:v>Prospective PhD applicant - [field/project overlap]</x:v>
      </x:c>
      <x:c r="D5" s="26" t="str">
        <x:v>Dear Professor [Name], I am Alimi Muhammad Adewale, a Pharmaceutical Sciences graduate from Nigeria with research experience in natural products, HR-LCMS metabolomics, molecular docking, ADMET, and health data analytics. I am writing because your work on [specific lab topic] aligns strongly with my interest in [specific field]. I would be grateful to know whether you may be accepting PhD/MSc students for [term/year], or whether there is a suitable application route I should follow. I have attached my CV and would be happy to share a short research statement.</x:v>
      </x:c>
    </x:row>
    <x:row r="6">
      <x:c r="A6" s="26" t="str">
        <x:v>Professor</x:v>
      </x:c>
      <x:c r="B6" s="26" t="str">
        <x:v>Follow-up</x:v>
      </x:c>
      <x:c r="C6" s="26" t="str">
        <x:v>Follow-up on prospective PhD/MSc inquiry</x:v>
      </x:c>
      <x:c r="D6" s="26" t="str">
        <x:v>Dear Professor [Name], I hope you are well. I wanted to politely follow up on my previous email about potential PhD/MSc opportunities in your group. I remain very interested in your work on [specific topic] and would be grateful for any guidance on whether my background may be a fit. Thank you again for your time.</x:v>
      </x:c>
    </x:row>
    <x:row r="7">
      <x:c r="A7" s="26" t="str">
        <x:v>Student</x:v>
      </x:c>
      <x:c r="B7" s="26" t="str">
        <x:v>LinkedIn message</x:v>
      </x:c>
      <x:c r="C7" s="26" t="str">
        <x:v>Short networking opener</x:v>
      </x:c>
      <x:c r="D7" s="26" t="str">
        <x:v>Hello [Name], I am Alimi, a pharmaceutical sciences graduate from Nigeria interested in [field] and exploring graduate study at [school]. I saw that you are working/studying in this area and would be grateful for one or two pieces of advice about the programme, lab culture, or application process. Thank you.</x:v>
      </x:c>
    </x:row>
    <x:row r="8">
      <x:c r="A8" s="26" t="str">
        <x:v>Lab/admin</x:v>
      </x:c>
      <x:c r="B8" s="26" t="str">
        <x:v>Application route</x:v>
      </x:c>
      <x:c r="C8" s="26" t="str">
        <x:v>Inquiry about [programme/lab] graduate opportunities</x:v>
      </x:c>
      <x:c r="D8" s="26" t="str">
        <x:v>Dear [Name/Team], I am interested in graduate opportunities related to [field] at [institution/lab]. Could you please advise on the correct application route, deadlines, and whether international applicants are eligible for funding? Thank you.</x:v>
      </x:c>
    </x:row>
  </x:sheetData>
  <x:mergeCells>
    <x:mergeCell ref="A1:D1"/>
    <x:mergeCell ref="A2:D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50" hidden="0" customWidth="1"/>
    <x:col min="4" max="4" width="42" hidden="0" customWidth="1"/>
    <x:col min="5" max="5" width="34" hidden="0" customWidth="1"/>
  </x:cols>
  <x:sheetData>
    <x:row r="1">
      <x:c r="A1" s="7" t="str">
        <x:v>Scoring Guide</x:v>
      </x:c>
      <x:c r="B1" s="8"/>
      <x:c r="C1" s="8"/>
      <x:c r="D1" s="8"/>
      <x:c r="E1" s="9"/>
    </x:row>
    <x:row r="2">
      <x:c r="A2" s="10" t="str">
        <x:v>Use fit score and priority to keep outreach focused.</x:v>
      </x:c>
      <x:c r="B2" s="11"/>
      <x:c r="C2" s="11"/>
      <x:c r="D2" s="11"/>
      <x:c r="E2" s="12"/>
    </x:row>
    <x:row r="4">
      <x:c r="A4" s="17" t="str">
        <x:v>Criterion</x:v>
      </x:c>
      <x:c r="B4" s="17" t="str">
        <x:v>Score Range</x:v>
      </x:c>
      <x:c r="C4" s="17" t="str">
        <x:v>High Score Signal</x:v>
      </x:c>
      <x:c r="D4" s="17" t="str">
        <x:v>Low Score Signal</x:v>
      </x:c>
      <x:c r="E4" s="17" t="str">
        <x:v>Notes</x:v>
      </x:c>
    </x:row>
    <x:row r="5">
      <x:c r="A5" s="26" t="str">
        <x:v>Field fit</x:v>
      </x:c>
      <x:c r="B5" s="26" t="str">
        <x:v>0-25</x:v>
      </x:c>
      <x:c r="C5" s="26" t="str">
        <x:v>Medicinal chemistry, CADD, health informatics, AI for health</x:v>
      </x:c>
      <x:c r="D5" s="26" t="str">
        <x:v>Unrelated field</x:v>
      </x:c>
      <x:c r="E5" s="26" t="str">
        <x:v>Most important factor</x:v>
      </x:c>
    </x:row>
    <x:row r="6">
      <x:c r="A6" s="26" t="str">
        <x:v>Funding fit</x:v>
      </x:c>
      <x:c r="B6" s="26" t="str">
        <x:v>0-20</x:v>
      </x:c>
      <x:c r="C6" s="26" t="str">
        <x:v>Fully funded / stipend / assistantship</x:v>
      </x:c>
      <x:c r="D6" s="26" t="str">
        <x:v>Self-funded only</x:v>
      </x:c>
      <x:c r="E6" s="26" t="str">
        <x:v>Be realistic about affordability</x:v>
      </x:c>
    </x:row>
    <x:row r="7">
      <x:c r="A7" s="26" t="str">
        <x:v>Profile fit</x:v>
      </x:c>
      <x:c r="B7" s="26" t="str">
        <x:v>0-20</x:v>
      </x:c>
      <x:c r="C7" s="26" t="str">
        <x:v>Needs pharmacy, data, docking, ADMET, healthtech, or LMIC perspective</x:v>
      </x:c>
      <x:c r="D7" s="26" t="str">
        <x:v>Requires unavailable wet-lab specialty only</x:v>
      </x:c>
      <x:c r="E7" s="26" t="str">
        <x:v>Match your evidence</x:v>
      </x:c>
    </x:row>
    <x:row r="8">
      <x:c r="A8" s="26" t="str">
        <x:v>Institution/lab fit</x:v>
      </x:c>
      <x:c r="B8" s="26" t="str">
        <x:v>0-15</x:v>
      </x:c>
      <x:c r="C8" s="26" t="str">
        <x:v>Target school or strong lab</x:v>
      </x:c>
      <x:c r="D8" s="26" t="str">
        <x:v>No clear supervisor/lab</x:v>
      </x:c>
      <x:c r="E8" s="26" t="str">
        <x:v>Target labs first</x:v>
      </x:c>
    </x:row>
    <x:row r="9">
      <x:c r="A9" s="26" t="str">
        <x:v>Deadline/timing</x:v>
      </x:c>
      <x:c r="B9" s="26" t="str">
        <x:v>0-10</x:v>
      </x:c>
      <x:c r="C9" s="26" t="str">
        <x:v>Open now, start date feasible</x:v>
      </x:c>
      <x:c r="D9" s="26" t="str">
        <x:v>Closed or unclear</x:v>
      </x:c>
      <x:c r="E9" s="26" t="str">
        <x:v>Keep deadline visible</x:v>
      </x:c>
    </x:row>
    <x:row r="10">
      <x:c r="A10" s="26" t="str">
        <x:v>Contactability</x:v>
      </x:c>
      <x:c r="B10" s="26" t="str">
        <x:v>0-10</x:v>
      </x:c>
      <x:c r="C10" s="26" t="str">
        <x:v>Email available and role clear</x:v>
      </x:c>
      <x:c r="D10" s="26" t="str">
        <x:v>No route to contact</x:v>
      </x:c>
      <x:c r="E10" s="26" t="str">
        <x:v>Find official email</x:v>
      </x:c>
    </x:row>
    <x:row r="11">
      <x:c r="A11" s="26" t="str">
        <x:v>Priority rule</x:v>
      </x:c>
      <x:c r="B11" s="26" t="str">
        <x:v>Total</x:v>
      </x:c>
      <x:c r="C11" s="26" t="str">
        <x:v>80+ High, 60-79 Medium, below 60 Low</x:v>
      </x:c>
      <x:c r="D11" s="26" t="str">
        <x:v>Archive weak leads</x:v>
      </x:c>
      <x:c r="E11" s="26" t="str">
        <x:v>Do fewer, better emails</x:v>
      </x:c>
    </x:row>
  </x:sheetData>
  <x:mergeCells>
    <x:mergeCell ref="A1:E1"/>
    <x:mergeCell ref="A2:E2"/>
  </x:mergeCells>
  <x:pageMargins left="0.7" right="0.7" top="0.75" bottom="0.75" header="0.3" footer="0.3"/>
  <x:tableParts count="1">
    <x:tablePart xmlns:r="http://schemas.openxmlformats.org/officeDocument/2006/relationships" r:id="R079bb463d6aa423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36" hidden="0" customWidth="1"/>
  </x:cols>
  <x:sheetData>
    <x:row r="1">
      <x:c r="A1" s="7" t="str">
        <x:v>Lists</x:v>
      </x:c>
      <x:c r="B1" s="8"/>
      <x:c r="C1" s="8"/>
      <x:c r="D1" s="9"/>
    </x:row>
    <x:row r="2">
      <x:c r="A2" s="10" t="str">
        <x:v>Dropdown source values and profile facts.</x:v>
      </x:c>
      <x:c r="B2" s="11"/>
      <x:c r="C2" s="11"/>
      <x:c r="D2" s="12"/>
    </x:row>
    <x:row r="4">
      <x:c r="A4" s="17" t="str">
        <x:v>Lead Types</x:v>
      </x:c>
      <x:c r="B4" s="17" t="str">
        <x:v>Outreach Statuses</x:v>
      </x:c>
      <x:c r="C4" s="17" t="str">
        <x:v>Next Actions</x:v>
      </x:c>
      <x:c r="D4" s="17" t="str">
        <x:v>Target Fields</x:v>
      </x:c>
    </x:row>
    <x:row r="5">
      <x:c r="A5" t="str">
        <x:v>Professor post</x:v>
      </x:c>
      <x:c r="B5" t="str">
        <x:v>Not contacted</x:v>
      </x:c>
      <x:c r="C5" t="str">
        <x:v>Cold email</x:v>
      </x:c>
      <x:c r="D5" t="str">
        <x:v>medicinal chemistry</x:v>
      </x:c>
    </x:row>
    <x:row r="6">
      <x:c r="A6" t="str">
        <x:v>PhD advert</x:v>
      </x:c>
      <x:c r="B6" t="str">
        <x:v>Draft needed</x:v>
      </x:c>
      <x:c r="C6" t="str">
        <x:v>LinkedIn message</x:v>
      </x:c>
      <x:c r="D6" t="str">
        <x:v>drug discovery</x:v>
      </x:c>
    </x:row>
    <x:row r="7">
      <x:c r="A7" t="str">
        <x:v>MSc funding</x:v>
      </x:c>
      <x:c r="B7" t="str">
        <x:v>Ready to send</x:v>
      </x:c>
      <x:c r="C7" t="str">
        <x:v>Find email</x:v>
      </x:c>
      <x:c r="D7" t="str">
        <x:v>computational drug discovery</x:v>
      </x:c>
    </x:row>
    <x:row r="8">
      <x:c r="A8" t="str">
        <x:v>Student contact</x:v>
      </x:c>
      <x:c r="B8" t="str">
        <x:v>Sent</x:v>
      </x:c>
      <x:c r="C8" t="str">
        <x:v>Read lab page</x:v>
      </x:c>
      <x:c r="D8" t="str">
        <x:v>computer-aided drug design</x:v>
      </x:c>
    </x:row>
    <x:row r="9">
      <x:c r="A9" t="str">
        <x:v>Lab page</x:v>
      </x:c>
      <x:c r="B9" t="str">
        <x:v>Follow-up due</x:v>
      </x:c>
      <x:c r="C9" t="str">
        <x:v>Tailor CV</x:v>
      </x:c>
      <x:c r="D9" t="str">
        <x:v>computational chemistry</x:v>
      </x:c>
    </x:row>
    <x:row r="10">
      <x:c r="A10" t="str">
        <x:v>Faculty profile</x:v>
      </x:c>
      <x:c r="B10" t="str">
        <x:v>Replied</x:v>
      </x:c>
      <x:c r="C10" t="str">
        <x:v>Draft SOP</x:v>
      </x:c>
      <x:c r="D10" t="str">
        <x:v>molecular docking</x:v>
      </x:c>
    </x:row>
    <x:row r="11">
      <x:c r="A11" t="str">
        <x:v>Scholarship</x:v>
      </x:c>
      <x:c r="B11" t="str">
        <x:v>Rejected</x:v>
      </x:c>
      <x:c r="C11" t="str">
        <x:v>Submit application</x:v>
      </x:c>
      <x:c r="D11" t="str">
        <x:v>molecular dynamics</x:v>
      </x:c>
    </x:row>
    <x:row r="12">
      <x:c r="A12" t="str">
        <x:v>Other</x:v>
      </x:c>
      <x:c r="B12" t="str">
        <x:v>Applied</x:v>
      </x:c>
      <x:c r="C12" t="str">
        <x:v>Follow up</x:v>
      </x:c>
      <x:c r="D12" t="str">
        <x:v>ADMET</x:v>
      </x:c>
    </x:row>
    <x:row r="13">
      <x:c r="A13" t="str"/>
      <x:c r="B13" t="str">
        <x:v>Archived</x:v>
      </x:c>
      <x:c r="C13" t="str">
        <x:v>Archive</x:v>
      </x:c>
      <x:c r="D13" t="str">
        <x:v>natural product chemistry</x:v>
      </x:c>
    </x:row>
    <x:row r="14">
      <x:c r="A14" t="str"/>
      <x:c r="B14" t="str"/>
      <x:c r="C14" t="str"/>
      <x:c r="D14" t="str">
        <x:v>phytochemistry</x:v>
      </x:c>
    </x:row>
    <x:row r="15">
      <x:c r="A15" t="str"/>
      <x:c r="B15" t="str"/>
      <x:c r="C15" t="str"/>
      <x:c r="D15" t="str">
        <x:v>metabolomics</x:v>
      </x:c>
    </x:row>
    <x:row r="16">
      <x:c r="A16" t="str"/>
      <x:c r="B16" t="str"/>
      <x:c r="C16" t="str"/>
      <x:c r="D16" t="str">
        <x:v>chemical biology</x:v>
      </x:c>
    </x:row>
    <x:row r="17">
      <x:c r="A17" t="str"/>
      <x:c r="B17" t="str"/>
      <x:c r="C17" t="str"/>
      <x:c r="D17" t="str">
        <x:v>pharmacology</x:v>
      </x:c>
    </x:row>
    <x:row r="18">
      <x:c r="A18" t="str"/>
      <x:c r="B18" t="str"/>
      <x:c r="C18" t="str"/>
      <x:c r="D18" t="str">
        <x:v>health informatics</x:v>
      </x:c>
    </x:row>
    <x:row r="19">
      <x:c r="A19" t="str"/>
      <x:c r="B19" t="str"/>
      <x:c r="C19" t="str"/>
      <x:c r="D19" t="str">
        <x:v>clinical informatics</x:v>
      </x:c>
    </x:row>
    <x:row r="20">
      <x:c r="A20" t="str"/>
      <x:c r="B20" t="str"/>
      <x:c r="C20" t="str"/>
      <x:c r="D20" t="str">
        <x:v>public health informatics</x:v>
      </x:c>
    </x:row>
    <x:row r="21">
      <x:c r="A21" t="str"/>
      <x:c r="B21" t="str"/>
      <x:c r="C21" t="str"/>
      <x:c r="D21" t="str">
        <x:v>digital health</x:v>
      </x:c>
    </x:row>
    <x:row r="22">
      <x:c r="A22" t="str"/>
      <x:c r="B22" t="str"/>
      <x:c r="C22" t="str"/>
      <x:c r="D22" t="str">
        <x:v>AI for health</x:v>
      </x:c>
    </x:row>
    <x:row r="23">
      <x:c r="A23" t="str"/>
      <x:c r="B23" t="str"/>
      <x:c r="C23" t="str"/>
      <x:c r="D23" t="str">
        <x:v>machine learning for healthcare</x:v>
      </x:c>
    </x:row>
    <x:row r="24">
      <x:c r="A24" t="str"/>
      <x:c r="B24" t="str"/>
      <x:c r="C24" t="str"/>
      <x:c r="D24" t="str">
        <x:v>health data science</x:v>
      </x:c>
    </x:row>
    <x:row r="25">
      <x:c r="A25" t="str"/>
      <x:c r="B25" t="str"/>
      <x:c r="C25" t="str"/>
      <x:c r="D25" t="str">
        <x:v>health data engineering</x:v>
      </x:c>
    </x:row>
    <x:row r="26">
      <x:c r="A26" t="str"/>
      <x:c r="B26" t="str"/>
      <x:c r="C26" t="str"/>
      <x:c r="D26" t="str">
        <x:v>pharmaceutical supply chain</x:v>
      </x:c>
    </x:row>
    <x:row r="27">
      <x:c r="A27" t="str"/>
      <x:c r="B27" t="str"/>
      <x:c r="C27" t="str"/>
      <x:c r="D27" t="str">
        <x:v>global health data</x:v>
      </x:c>
    </x:row>
  </x:sheetData>
  <x:mergeCells>
    <x:mergeCell ref="A1:D1"/>
    <x:mergeCell ref="A2:D2"/>
  </x:mergeCells>
  <x:pageMargins left="0.7" right="0.7" top="0.75" bottom="0.75" header="0.3" footer="0.3"/>
  <x:tableParts count="1">
    <x:tablePart xmlns:r="http://schemas.openxmlformats.org/officeDocument/2006/relationships" r:id="R857dbdf312a44eeb"/>
  </x:tableParts>
</x:worksheet>
</file>